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26e2e41d6b7321/Desktop/Bellabet_Case_study_Excel/"/>
    </mc:Choice>
  </mc:AlternateContent>
  <xr:revisionPtr revIDLastSave="2" documentId="8_{1195E9F6-4491-4874-AF5D-EB1A034871B2}" xr6:coauthVersionLast="47" xr6:coauthVersionMax="47" xr10:uidLastSave="{982F2F0E-67F5-447D-B829-174617070812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  <sheet name="Case_Study" sheetId="1" r:id="rId3"/>
  </sheets>
  <calcPr calcId="181029"/>
  <pivotCaches>
    <pivotCache cacheId="0" r:id="rId4"/>
    <pivotCache cacheId="1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2" i="1"/>
</calcChain>
</file>

<file path=xl/sharedStrings.xml><?xml version="1.0" encoding="utf-8"?>
<sst xmlns="http://schemas.openxmlformats.org/spreadsheetml/2006/main" count="30" uniqueCount="24">
  <si>
    <t>Id</t>
  </si>
  <si>
    <t>Calories</t>
  </si>
  <si>
    <t>Activity_Date</t>
  </si>
  <si>
    <t>Total_Steps</t>
  </si>
  <si>
    <t>Total_Distance</t>
  </si>
  <si>
    <t>Week_day</t>
  </si>
  <si>
    <t>Row Labels</t>
  </si>
  <si>
    <t>Grand Total</t>
  </si>
  <si>
    <t>Average of Total_Steps</t>
  </si>
  <si>
    <t>Average steps per user</t>
  </si>
  <si>
    <t>Most users average fewer than 10,000 steps per day</t>
  </si>
  <si>
    <t>Activity_Level</t>
  </si>
  <si>
    <t>High</t>
  </si>
  <si>
    <t>Low</t>
  </si>
  <si>
    <t>Moderate</t>
  </si>
  <si>
    <t>Count of Id</t>
  </si>
  <si>
    <t>Activity level distribution</t>
  </si>
  <si>
    <t>Most users fall into low or moderate activity categories.</t>
  </si>
  <si>
    <t>User_Id</t>
  </si>
  <si>
    <t>Average of Calories</t>
  </si>
  <si>
    <t>Average Steps Vs Average Calories burned for each user</t>
  </si>
  <si>
    <t>Calories burned increase as steps increase, indicating a positive correlation</t>
  </si>
  <si>
    <t>Trend line is to shows over all direction</t>
  </si>
  <si>
    <t>R² tells how strong the relationship is.her its 0.3 week 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</si>
</sst>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  <xf numFmtId="164" fontId="18" fillId="0" borderId="0" xfId="0" applyNumberFormat="1" applyFont="1"/>
    <xf numFmtId="164" fontId="0" fillId="0" borderId="0" xfId="0" applyNumberFormat="1"/>
    <xf numFmtId="1" fontId="18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0" fillId="0" borderId="0" xfId="0" applyFont="1" applyAlignment="1">
      <alignment vertical="center"/>
    </xf>
    <xf numFmtId="0" fontId="21" fillId="0" borderId="0" xfId="0" applyFont="1"/>
    <xf numFmtId="1" fontId="16" fillId="33" borderId="10" xfId="0" applyNumberFormat="1" applyFont="1" applyFill="1" applyBorder="1"/>
    <xf numFmtId="1" fontId="16" fillId="33" borderId="11" xfId="0" applyNumberFormat="1" applyFont="1" applyFill="1" applyBorder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Calories</a:t>
            </a:r>
            <a:r>
              <a:rPr lang="en-US" baseline="0"/>
              <a:t> &amp; Average Total Steps Trends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Sheet2!$G$3</c:f>
              <c:strCache>
                <c:ptCount val="1"/>
                <c:pt idx="0">
                  <c:v>Average of Calories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Sheet2!$G$4:$G$39</c:f>
              <c:numCache>
                <c:formatCode>0</c:formatCode>
                <c:ptCount val="36"/>
                <c:pt idx="0">
                  <c:v>1796.2105263157894</c:v>
                </c:pt>
                <c:pt idx="1">
                  <c:v>1352.8947368421052</c:v>
                </c:pt>
                <c:pt idx="2">
                  <c:v>2916.4</c:v>
                </c:pt>
                <c:pt idx="3">
                  <c:v>1615.9166666666667</c:v>
                </c:pt>
                <c:pt idx="4">
                  <c:v>2254</c:v>
                </c:pt>
                <c:pt idx="5">
                  <c:v>2475.3333333333335</c:v>
                </c:pt>
                <c:pt idx="6">
                  <c:v>1355.5</c:v>
                </c:pt>
                <c:pt idx="7">
                  <c:v>1532.0833333333333</c:v>
                </c:pt>
                <c:pt idx="8">
                  <c:v>2021.3333333333333</c:v>
                </c:pt>
                <c:pt idx="9">
                  <c:v>1695.75</c:v>
                </c:pt>
                <c:pt idx="10">
                  <c:v>2273.375</c:v>
                </c:pt>
                <c:pt idx="11">
                  <c:v>1860.3</c:v>
                </c:pt>
                <c:pt idx="12">
                  <c:v>1398.0833333333333</c:v>
                </c:pt>
                <c:pt idx="13">
                  <c:v>3075.375</c:v>
                </c:pt>
                <c:pt idx="14">
                  <c:v>1903.53125</c:v>
                </c:pt>
                <c:pt idx="15">
                  <c:v>1994.25</c:v>
                </c:pt>
                <c:pt idx="16">
                  <c:v>1805.25</c:v>
                </c:pt>
                <c:pt idx="17">
                  <c:v>2107.8000000000002</c:v>
                </c:pt>
                <c:pt idx="18">
                  <c:v>1830.1666666666667</c:v>
                </c:pt>
                <c:pt idx="19">
                  <c:v>2821.4666666666667</c:v>
                </c:pt>
                <c:pt idx="20">
                  <c:v>1802.5</c:v>
                </c:pt>
                <c:pt idx="21">
                  <c:v>3300.2727272727275</c:v>
                </c:pt>
                <c:pt idx="22">
                  <c:v>2099.3000000000002</c:v>
                </c:pt>
                <c:pt idx="23">
                  <c:v>2165.6</c:v>
                </c:pt>
                <c:pt idx="24">
                  <c:v>1763.1111111111111</c:v>
                </c:pt>
                <c:pt idx="25">
                  <c:v>2724.7777777777778</c:v>
                </c:pt>
                <c:pt idx="26">
                  <c:v>2089.2142857142858</c:v>
                </c:pt>
                <c:pt idx="27">
                  <c:v>2627.0833333333335</c:v>
                </c:pt>
                <c:pt idx="28">
                  <c:v>2177</c:v>
                </c:pt>
                <c:pt idx="29">
                  <c:v>2893.181818181818</c:v>
                </c:pt>
                <c:pt idx="30">
                  <c:v>1463</c:v>
                </c:pt>
                <c:pt idx="31">
                  <c:v>3356.1666666666665</c:v>
                </c:pt>
                <c:pt idx="32">
                  <c:v>2391.25</c:v>
                </c:pt>
                <c:pt idx="33">
                  <c:v>2073.6666666666665</c:v>
                </c:pt>
                <c:pt idx="34">
                  <c:v>3451.1666666666665</c:v>
                </c:pt>
                <c:pt idx="35">
                  <c:v>2189.4529540481399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C9-4EF4-8C85-A5DFA1A3DF85}"/>
            </c:ext>
          </c:extLst>
        </c:ser>
        <c:ser>
          <c:idx val="1"/>
          <c:order val="1"/>
          <c:tx>
            <c:strRef>
              <c:f>Sheet2!$H$3</c:f>
              <c:strCache>
                <c:ptCount val="1"/>
                <c:pt idx="0">
                  <c:v>Average of Total_Steps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Sheet2!$H$4:$H$39</c:f>
              <c:numCache>
                <c:formatCode>0</c:formatCode>
                <c:ptCount val="36"/>
                <c:pt idx="0">
                  <c:v>11640.526315789473</c:v>
                </c:pt>
                <c:pt idx="1">
                  <c:v>4226.2631578947367</c:v>
                </c:pt>
                <c:pt idx="2">
                  <c:v>9274.7999999999993</c:v>
                </c:pt>
                <c:pt idx="3">
                  <c:v>3640.5833333333335</c:v>
                </c:pt>
                <c:pt idx="4">
                  <c:v>2180.8333333333335</c:v>
                </c:pt>
                <c:pt idx="5">
                  <c:v>12174.916666666666</c:v>
                </c:pt>
                <c:pt idx="6">
                  <c:v>3392.75</c:v>
                </c:pt>
                <c:pt idx="7">
                  <c:v>3138.4166666666665</c:v>
                </c:pt>
                <c:pt idx="8">
                  <c:v>9800.0666666666675</c:v>
                </c:pt>
                <c:pt idx="9">
                  <c:v>6636.583333333333</c:v>
                </c:pt>
                <c:pt idx="10">
                  <c:v>773.625</c:v>
                </c:pt>
                <c:pt idx="11">
                  <c:v>6127.5</c:v>
                </c:pt>
                <c:pt idx="12">
                  <c:v>8663.9166666666661</c:v>
                </c:pt>
                <c:pt idx="13">
                  <c:v>5776.59375</c:v>
                </c:pt>
                <c:pt idx="14">
                  <c:v>1887.21875</c:v>
                </c:pt>
                <c:pt idx="15">
                  <c:v>7820.583333333333</c:v>
                </c:pt>
                <c:pt idx="16">
                  <c:v>0</c:v>
                </c:pt>
                <c:pt idx="17">
                  <c:v>4293.0666666666666</c:v>
                </c:pt>
                <c:pt idx="18">
                  <c:v>5785.25</c:v>
                </c:pt>
                <c:pt idx="19">
                  <c:v>7943.4</c:v>
                </c:pt>
                <c:pt idx="20">
                  <c:v>8354.75</c:v>
                </c:pt>
                <c:pt idx="21">
                  <c:v>8608.181818181818</c:v>
                </c:pt>
                <c:pt idx="22">
                  <c:v>8248.6</c:v>
                </c:pt>
                <c:pt idx="23">
                  <c:v>1618.1</c:v>
                </c:pt>
                <c:pt idx="24">
                  <c:v>1336.8888888888889</c:v>
                </c:pt>
                <c:pt idx="25">
                  <c:v>5559</c:v>
                </c:pt>
                <c:pt idx="26">
                  <c:v>12639.714285714286</c:v>
                </c:pt>
                <c:pt idx="27">
                  <c:v>12260.333333333334</c:v>
                </c:pt>
                <c:pt idx="28">
                  <c:v>6103.916666666667</c:v>
                </c:pt>
                <c:pt idx="29">
                  <c:v>14844.363636363636</c:v>
                </c:pt>
                <c:pt idx="30">
                  <c:v>2389.9166666666665</c:v>
                </c:pt>
                <c:pt idx="31">
                  <c:v>8135.25</c:v>
                </c:pt>
                <c:pt idx="32">
                  <c:v>3045.5</c:v>
                </c:pt>
                <c:pt idx="33">
                  <c:v>3094.9166666666665</c:v>
                </c:pt>
                <c:pt idx="34">
                  <c:v>17417.083333333332</c:v>
                </c:pt>
                <c:pt idx="35">
                  <c:v>6546.5623632385123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C9-4EF4-8C85-A5DFA1A3D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7842800"/>
        <c:axId val="607844440"/>
      </c:lineChart>
      <c:catAx>
        <c:axId val="607842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844440"/>
        <c:crosses val="autoZero"/>
        <c:auto val="1"/>
        <c:lblAlgn val="ctr"/>
        <c:lblOffset val="100"/>
        <c:noMultiLvlLbl val="0"/>
      </c:catAx>
      <c:valAx>
        <c:axId val="60784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84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Average_Steps</a:t>
            </a:r>
            <a:r>
              <a:rPr lang="en-US" baseline="0"/>
              <a:t> Vs Average_Calories</a:t>
            </a:r>
            <a:endParaRPr lang="en-US"/>
          </a:p>
        </c:rich>
      </c:tx>
      <c:layout>
        <c:manualLayout>
          <c:xMode val="edge"/>
          <c:yMode val="edge"/>
          <c:x val="0.3100067804024496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Sheet2!$H$3</c:f>
              <c:strCache>
                <c:ptCount val="1"/>
                <c:pt idx="0">
                  <c:v>Average of Total_Steps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Sheet2!$G$4:$G$39</c:f>
              <c:numCache>
                <c:formatCode>0</c:formatCode>
                <c:ptCount val="36"/>
                <c:pt idx="0">
                  <c:v>1796.2105263157894</c:v>
                </c:pt>
                <c:pt idx="1">
                  <c:v>1352.8947368421052</c:v>
                </c:pt>
                <c:pt idx="2">
                  <c:v>2916.4</c:v>
                </c:pt>
                <c:pt idx="3">
                  <c:v>1615.9166666666667</c:v>
                </c:pt>
                <c:pt idx="4">
                  <c:v>2254</c:v>
                </c:pt>
                <c:pt idx="5">
                  <c:v>2475.3333333333335</c:v>
                </c:pt>
                <c:pt idx="6">
                  <c:v>1355.5</c:v>
                </c:pt>
                <c:pt idx="7">
                  <c:v>1532.0833333333333</c:v>
                </c:pt>
                <c:pt idx="8">
                  <c:v>2021.3333333333333</c:v>
                </c:pt>
                <c:pt idx="9">
                  <c:v>1695.75</c:v>
                </c:pt>
                <c:pt idx="10">
                  <c:v>2273.375</c:v>
                </c:pt>
                <c:pt idx="11">
                  <c:v>1860.3</c:v>
                </c:pt>
                <c:pt idx="12">
                  <c:v>1398.0833333333333</c:v>
                </c:pt>
                <c:pt idx="13">
                  <c:v>3075.375</c:v>
                </c:pt>
                <c:pt idx="14">
                  <c:v>1903.53125</c:v>
                </c:pt>
                <c:pt idx="15">
                  <c:v>1994.25</c:v>
                </c:pt>
                <c:pt idx="16">
                  <c:v>1805.25</c:v>
                </c:pt>
                <c:pt idx="17">
                  <c:v>2107.8000000000002</c:v>
                </c:pt>
                <c:pt idx="18">
                  <c:v>1830.1666666666667</c:v>
                </c:pt>
                <c:pt idx="19">
                  <c:v>2821.4666666666667</c:v>
                </c:pt>
                <c:pt idx="20">
                  <c:v>1802.5</c:v>
                </c:pt>
                <c:pt idx="21">
                  <c:v>3300.2727272727275</c:v>
                </c:pt>
                <c:pt idx="22">
                  <c:v>2099.3000000000002</c:v>
                </c:pt>
                <c:pt idx="23">
                  <c:v>2165.6</c:v>
                </c:pt>
                <c:pt idx="24">
                  <c:v>1763.1111111111111</c:v>
                </c:pt>
                <c:pt idx="25">
                  <c:v>2724.7777777777778</c:v>
                </c:pt>
                <c:pt idx="26">
                  <c:v>2089.2142857142858</c:v>
                </c:pt>
                <c:pt idx="27">
                  <c:v>2627.0833333333335</c:v>
                </c:pt>
                <c:pt idx="28">
                  <c:v>2177</c:v>
                </c:pt>
                <c:pt idx="29">
                  <c:v>2893.181818181818</c:v>
                </c:pt>
                <c:pt idx="30">
                  <c:v>1463</c:v>
                </c:pt>
                <c:pt idx="31">
                  <c:v>3356.1666666666665</c:v>
                </c:pt>
                <c:pt idx="32">
                  <c:v>2391.25</c:v>
                </c:pt>
                <c:pt idx="33">
                  <c:v>2073.6666666666665</c:v>
                </c:pt>
                <c:pt idx="34">
                  <c:v>3451.1666666666665</c:v>
                </c:pt>
                <c:pt idx="35">
                  <c:v>2189.4529540481399</c:v>
                </c:pt>
              </c:numCache>
            </c:numRef>
          </c:xVal>
          <c:yVal>
            <c:numRef>
              <c:f>Sheet2!$H$4:$H$39</c:f>
              <c:numCache>
                <c:formatCode>0</c:formatCode>
                <c:ptCount val="36"/>
                <c:pt idx="0">
                  <c:v>11640.526315789473</c:v>
                </c:pt>
                <c:pt idx="1">
                  <c:v>4226.2631578947367</c:v>
                </c:pt>
                <c:pt idx="2">
                  <c:v>9274.7999999999993</c:v>
                </c:pt>
                <c:pt idx="3">
                  <c:v>3640.5833333333335</c:v>
                </c:pt>
                <c:pt idx="4">
                  <c:v>2180.8333333333335</c:v>
                </c:pt>
                <c:pt idx="5">
                  <c:v>12174.916666666666</c:v>
                </c:pt>
                <c:pt idx="6">
                  <c:v>3392.75</c:v>
                </c:pt>
                <c:pt idx="7">
                  <c:v>3138.4166666666665</c:v>
                </c:pt>
                <c:pt idx="8">
                  <c:v>9800.0666666666675</c:v>
                </c:pt>
                <c:pt idx="9">
                  <c:v>6636.583333333333</c:v>
                </c:pt>
                <c:pt idx="10">
                  <c:v>773.625</c:v>
                </c:pt>
                <c:pt idx="11">
                  <c:v>6127.5</c:v>
                </c:pt>
                <c:pt idx="12">
                  <c:v>8663.9166666666661</c:v>
                </c:pt>
                <c:pt idx="13">
                  <c:v>5776.59375</c:v>
                </c:pt>
                <c:pt idx="14">
                  <c:v>1887.21875</c:v>
                </c:pt>
                <c:pt idx="15">
                  <c:v>7820.583333333333</c:v>
                </c:pt>
                <c:pt idx="16">
                  <c:v>0</c:v>
                </c:pt>
                <c:pt idx="17">
                  <c:v>4293.0666666666666</c:v>
                </c:pt>
                <c:pt idx="18">
                  <c:v>5785.25</c:v>
                </c:pt>
                <c:pt idx="19">
                  <c:v>7943.4</c:v>
                </c:pt>
                <c:pt idx="20">
                  <c:v>8354.75</c:v>
                </c:pt>
                <c:pt idx="21">
                  <c:v>8608.181818181818</c:v>
                </c:pt>
                <c:pt idx="22">
                  <c:v>8248.6</c:v>
                </c:pt>
                <c:pt idx="23">
                  <c:v>1618.1</c:v>
                </c:pt>
                <c:pt idx="24">
                  <c:v>1336.8888888888889</c:v>
                </c:pt>
                <c:pt idx="25">
                  <c:v>5559</c:v>
                </c:pt>
                <c:pt idx="26">
                  <c:v>12639.714285714286</c:v>
                </c:pt>
                <c:pt idx="27">
                  <c:v>12260.333333333334</c:v>
                </c:pt>
                <c:pt idx="28">
                  <c:v>6103.916666666667</c:v>
                </c:pt>
                <c:pt idx="29">
                  <c:v>14844.363636363636</c:v>
                </c:pt>
                <c:pt idx="30">
                  <c:v>2389.9166666666665</c:v>
                </c:pt>
                <c:pt idx="31">
                  <c:v>8135.25</c:v>
                </c:pt>
                <c:pt idx="32">
                  <c:v>3045.5</c:v>
                </c:pt>
                <c:pt idx="33">
                  <c:v>3094.9166666666665</c:v>
                </c:pt>
                <c:pt idx="34">
                  <c:v>17417.083333333332</c:v>
                </c:pt>
                <c:pt idx="35">
                  <c:v>6546.5623632385123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1E-4E05-B915-A5FA6B0C2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716464"/>
        <c:axId val="684726304"/>
      </c:scatterChart>
      <c:valAx>
        <c:axId val="68471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Avg-Calories</a:t>
                </a:r>
              </a:p>
            </c:rich>
          </c:tx>
          <c:layout>
            <c:manualLayout>
              <c:xMode val="edge"/>
              <c:yMode val="edge"/>
              <c:x val="0.82821412948381468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726304"/>
        <c:crosses val="autoZero"/>
        <c:crossBetween val="midCat"/>
      </c:valAx>
      <c:valAx>
        <c:axId val="68472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Avg-Steps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5.216827063283754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71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Steps &amp; Calories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Case_Study!$D$1</c:f>
              <c:strCache>
                <c:ptCount val="1"/>
                <c:pt idx="0">
                  <c:v>Total_Steps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Case_Study!$D$2:$D$458</c:f>
              <c:numCache>
                <c:formatCode>0</c:formatCode>
                <c:ptCount val="457"/>
                <c:pt idx="0">
                  <c:v>11004</c:v>
                </c:pt>
                <c:pt idx="1">
                  <c:v>17609</c:v>
                </c:pt>
                <c:pt idx="2">
                  <c:v>12736</c:v>
                </c:pt>
                <c:pt idx="3">
                  <c:v>13231</c:v>
                </c:pt>
                <c:pt idx="4">
                  <c:v>12041</c:v>
                </c:pt>
                <c:pt idx="5">
                  <c:v>10970</c:v>
                </c:pt>
                <c:pt idx="6">
                  <c:v>12256</c:v>
                </c:pt>
                <c:pt idx="7">
                  <c:v>12262</c:v>
                </c:pt>
                <c:pt idx="8">
                  <c:v>11248</c:v>
                </c:pt>
                <c:pt idx="9">
                  <c:v>10016</c:v>
                </c:pt>
                <c:pt idx="10">
                  <c:v>14557</c:v>
                </c:pt>
                <c:pt idx="11">
                  <c:v>14844</c:v>
                </c:pt>
                <c:pt idx="12">
                  <c:v>11974</c:v>
                </c:pt>
                <c:pt idx="13">
                  <c:v>10198</c:v>
                </c:pt>
                <c:pt idx="14">
                  <c:v>12521</c:v>
                </c:pt>
                <c:pt idx="15">
                  <c:v>12432</c:v>
                </c:pt>
                <c:pt idx="16">
                  <c:v>10057</c:v>
                </c:pt>
                <c:pt idx="17">
                  <c:v>10990</c:v>
                </c:pt>
                <c:pt idx="18">
                  <c:v>224</c:v>
                </c:pt>
                <c:pt idx="19">
                  <c:v>1810</c:v>
                </c:pt>
                <c:pt idx="20">
                  <c:v>815</c:v>
                </c:pt>
                <c:pt idx="21">
                  <c:v>1985</c:v>
                </c:pt>
                <c:pt idx="22">
                  <c:v>1905</c:v>
                </c:pt>
                <c:pt idx="23">
                  <c:v>1552</c:v>
                </c:pt>
                <c:pt idx="24">
                  <c:v>1675</c:v>
                </c:pt>
                <c:pt idx="25">
                  <c:v>4506</c:v>
                </c:pt>
                <c:pt idx="26">
                  <c:v>9218</c:v>
                </c:pt>
                <c:pt idx="27">
                  <c:v>1556</c:v>
                </c:pt>
                <c:pt idx="28">
                  <c:v>2910</c:v>
                </c:pt>
                <c:pt idx="29">
                  <c:v>18464</c:v>
                </c:pt>
                <c:pt idx="30">
                  <c:v>1335</c:v>
                </c:pt>
                <c:pt idx="31">
                  <c:v>1004</c:v>
                </c:pt>
                <c:pt idx="32">
                  <c:v>1111</c:v>
                </c:pt>
                <c:pt idx="33">
                  <c:v>6344</c:v>
                </c:pt>
                <c:pt idx="34">
                  <c:v>3572</c:v>
                </c:pt>
                <c:pt idx="35">
                  <c:v>3910</c:v>
                </c:pt>
                <c:pt idx="36">
                  <c:v>10000</c:v>
                </c:pt>
                <c:pt idx="37">
                  <c:v>6627</c:v>
                </c:pt>
                <c:pt idx="38">
                  <c:v>4636</c:v>
                </c:pt>
                <c:pt idx="39">
                  <c:v>20237</c:v>
                </c:pt>
                <c:pt idx="40">
                  <c:v>12912</c:v>
                </c:pt>
                <c:pt idx="41">
                  <c:v>2819</c:v>
                </c:pt>
                <c:pt idx="42">
                  <c:v>9921</c:v>
                </c:pt>
                <c:pt idx="43">
                  <c:v>8046</c:v>
                </c:pt>
                <c:pt idx="44">
                  <c:v>11166</c:v>
                </c:pt>
                <c:pt idx="45">
                  <c:v>7842</c:v>
                </c:pt>
                <c:pt idx="46">
                  <c:v>13840</c:v>
                </c:pt>
                <c:pt idx="47">
                  <c:v>1329</c:v>
                </c:pt>
                <c:pt idx="48">
                  <c:v>6847</c:v>
                </c:pt>
                <c:pt idx="49">
                  <c:v>5367</c:v>
                </c:pt>
                <c:pt idx="50">
                  <c:v>2841</c:v>
                </c:pt>
                <c:pt idx="51">
                  <c:v>0</c:v>
                </c:pt>
                <c:pt idx="52">
                  <c:v>0</c:v>
                </c:pt>
                <c:pt idx="53">
                  <c:v>7</c:v>
                </c:pt>
                <c:pt idx="54">
                  <c:v>6344</c:v>
                </c:pt>
                <c:pt idx="55">
                  <c:v>5316</c:v>
                </c:pt>
                <c:pt idx="56">
                  <c:v>4979</c:v>
                </c:pt>
                <c:pt idx="57">
                  <c:v>6556</c:v>
                </c:pt>
                <c:pt idx="58">
                  <c:v>5430</c:v>
                </c:pt>
                <c:pt idx="59">
                  <c:v>0</c:v>
                </c:pt>
                <c:pt idx="60">
                  <c:v>4317</c:v>
                </c:pt>
                <c:pt idx="61">
                  <c:v>5662</c:v>
                </c:pt>
                <c:pt idx="62">
                  <c:v>3198</c:v>
                </c:pt>
                <c:pt idx="63">
                  <c:v>2352</c:v>
                </c:pt>
                <c:pt idx="64">
                  <c:v>2234</c:v>
                </c:pt>
                <c:pt idx="65">
                  <c:v>1259</c:v>
                </c:pt>
                <c:pt idx="66">
                  <c:v>768</c:v>
                </c:pt>
                <c:pt idx="67">
                  <c:v>519</c:v>
                </c:pt>
                <c:pt idx="68">
                  <c:v>2523</c:v>
                </c:pt>
                <c:pt idx="69">
                  <c:v>2105</c:v>
                </c:pt>
                <c:pt idx="70">
                  <c:v>1209</c:v>
                </c:pt>
                <c:pt idx="71">
                  <c:v>24</c:v>
                </c:pt>
                <c:pt idx="72">
                  <c:v>13603</c:v>
                </c:pt>
                <c:pt idx="73">
                  <c:v>5477</c:v>
                </c:pt>
                <c:pt idx="74">
                  <c:v>11144</c:v>
                </c:pt>
                <c:pt idx="75">
                  <c:v>15313</c:v>
                </c:pt>
                <c:pt idx="76">
                  <c:v>10805</c:v>
                </c:pt>
                <c:pt idx="77">
                  <c:v>15392</c:v>
                </c:pt>
                <c:pt idx="78">
                  <c:v>18247</c:v>
                </c:pt>
                <c:pt idx="79">
                  <c:v>13023</c:v>
                </c:pt>
                <c:pt idx="80">
                  <c:v>16267</c:v>
                </c:pt>
                <c:pt idx="81">
                  <c:v>10005</c:v>
                </c:pt>
                <c:pt idx="82">
                  <c:v>10106</c:v>
                </c:pt>
                <c:pt idx="83">
                  <c:v>6717</c:v>
                </c:pt>
                <c:pt idx="84">
                  <c:v>2605</c:v>
                </c:pt>
                <c:pt idx="85">
                  <c:v>1229</c:v>
                </c:pt>
                <c:pt idx="86">
                  <c:v>2308</c:v>
                </c:pt>
                <c:pt idx="87">
                  <c:v>6679</c:v>
                </c:pt>
                <c:pt idx="88">
                  <c:v>5645</c:v>
                </c:pt>
                <c:pt idx="89">
                  <c:v>3180</c:v>
                </c:pt>
                <c:pt idx="90">
                  <c:v>2767</c:v>
                </c:pt>
                <c:pt idx="91">
                  <c:v>3762</c:v>
                </c:pt>
                <c:pt idx="92">
                  <c:v>3098</c:v>
                </c:pt>
                <c:pt idx="93">
                  <c:v>5142</c:v>
                </c:pt>
                <c:pt idx="94">
                  <c:v>3279</c:v>
                </c:pt>
                <c:pt idx="95">
                  <c:v>1019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4931</c:v>
                </c:pt>
                <c:pt idx="101">
                  <c:v>6999</c:v>
                </c:pt>
                <c:pt idx="102">
                  <c:v>1846</c:v>
                </c:pt>
                <c:pt idx="103">
                  <c:v>3417</c:v>
                </c:pt>
                <c:pt idx="104">
                  <c:v>4863</c:v>
                </c:pt>
                <c:pt idx="105">
                  <c:v>2277</c:v>
                </c:pt>
                <c:pt idx="106">
                  <c:v>11230</c:v>
                </c:pt>
                <c:pt idx="107">
                  <c:v>2098</c:v>
                </c:pt>
                <c:pt idx="108">
                  <c:v>10272</c:v>
                </c:pt>
                <c:pt idx="109">
                  <c:v>10533</c:v>
                </c:pt>
                <c:pt idx="110">
                  <c:v>6760</c:v>
                </c:pt>
                <c:pt idx="111">
                  <c:v>8328</c:v>
                </c:pt>
                <c:pt idx="112">
                  <c:v>15459</c:v>
                </c:pt>
                <c:pt idx="113">
                  <c:v>7485</c:v>
                </c:pt>
                <c:pt idx="114">
                  <c:v>10254</c:v>
                </c:pt>
                <c:pt idx="115">
                  <c:v>10114</c:v>
                </c:pt>
                <c:pt idx="116">
                  <c:v>11107</c:v>
                </c:pt>
                <c:pt idx="117">
                  <c:v>10320</c:v>
                </c:pt>
                <c:pt idx="118">
                  <c:v>10209</c:v>
                </c:pt>
                <c:pt idx="119">
                  <c:v>16081</c:v>
                </c:pt>
                <c:pt idx="120">
                  <c:v>10078</c:v>
                </c:pt>
                <c:pt idx="121">
                  <c:v>10001</c:v>
                </c:pt>
                <c:pt idx="122">
                  <c:v>0</c:v>
                </c:pt>
                <c:pt idx="123">
                  <c:v>890</c:v>
                </c:pt>
                <c:pt idx="124">
                  <c:v>2214</c:v>
                </c:pt>
                <c:pt idx="125">
                  <c:v>7640</c:v>
                </c:pt>
                <c:pt idx="126">
                  <c:v>9713</c:v>
                </c:pt>
                <c:pt idx="127">
                  <c:v>8432</c:v>
                </c:pt>
                <c:pt idx="128">
                  <c:v>7350</c:v>
                </c:pt>
                <c:pt idx="129">
                  <c:v>9353</c:v>
                </c:pt>
                <c:pt idx="130">
                  <c:v>7157</c:v>
                </c:pt>
                <c:pt idx="131">
                  <c:v>14103</c:v>
                </c:pt>
                <c:pt idx="132">
                  <c:v>5290</c:v>
                </c:pt>
                <c:pt idx="133">
                  <c:v>7497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4126</c:v>
                </c:pt>
                <c:pt idx="140">
                  <c:v>0</c:v>
                </c:pt>
                <c:pt idx="141">
                  <c:v>0</c:v>
                </c:pt>
                <c:pt idx="142">
                  <c:v>2063</c:v>
                </c:pt>
                <c:pt idx="143">
                  <c:v>5785</c:v>
                </c:pt>
                <c:pt idx="144">
                  <c:v>7625</c:v>
                </c:pt>
                <c:pt idx="145">
                  <c:v>4706</c:v>
                </c:pt>
                <c:pt idx="146">
                  <c:v>5861</c:v>
                </c:pt>
                <c:pt idx="147">
                  <c:v>4460</c:v>
                </c:pt>
                <c:pt idx="148">
                  <c:v>6406</c:v>
                </c:pt>
                <c:pt idx="149">
                  <c:v>7392</c:v>
                </c:pt>
                <c:pt idx="150">
                  <c:v>5551</c:v>
                </c:pt>
                <c:pt idx="151">
                  <c:v>8827</c:v>
                </c:pt>
                <c:pt idx="152">
                  <c:v>4662</c:v>
                </c:pt>
                <c:pt idx="153">
                  <c:v>4499</c:v>
                </c:pt>
                <c:pt idx="154">
                  <c:v>7618</c:v>
                </c:pt>
                <c:pt idx="155">
                  <c:v>11508</c:v>
                </c:pt>
                <c:pt idx="156">
                  <c:v>11943</c:v>
                </c:pt>
                <c:pt idx="157">
                  <c:v>12303</c:v>
                </c:pt>
                <c:pt idx="158">
                  <c:v>15425</c:v>
                </c:pt>
                <c:pt idx="159">
                  <c:v>8422</c:v>
                </c:pt>
                <c:pt idx="160">
                  <c:v>10226</c:v>
                </c:pt>
                <c:pt idx="161">
                  <c:v>14583</c:v>
                </c:pt>
                <c:pt idx="162">
                  <c:v>3573</c:v>
                </c:pt>
                <c:pt idx="163">
                  <c:v>3108</c:v>
                </c:pt>
                <c:pt idx="164">
                  <c:v>759</c:v>
                </c:pt>
                <c:pt idx="165">
                  <c:v>5543</c:v>
                </c:pt>
                <c:pt idx="166">
                  <c:v>3226</c:v>
                </c:pt>
                <c:pt idx="167">
                  <c:v>3023</c:v>
                </c:pt>
                <c:pt idx="168">
                  <c:v>5906</c:v>
                </c:pt>
                <c:pt idx="169">
                  <c:v>12483</c:v>
                </c:pt>
                <c:pt idx="170">
                  <c:v>8940</c:v>
                </c:pt>
                <c:pt idx="171">
                  <c:v>368</c:v>
                </c:pt>
                <c:pt idx="172">
                  <c:v>5702</c:v>
                </c:pt>
                <c:pt idx="173">
                  <c:v>10330</c:v>
                </c:pt>
                <c:pt idx="174">
                  <c:v>8778</c:v>
                </c:pt>
                <c:pt idx="175">
                  <c:v>6662</c:v>
                </c:pt>
                <c:pt idx="176">
                  <c:v>6309</c:v>
                </c:pt>
                <c:pt idx="177">
                  <c:v>1951</c:v>
                </c:pt>
                <c:pt idx="178">
                  <c:v>5563</c:v>
                </c:pt>
                <c:pt idx="179">
                  <c:v>4370</c:v>
                </c:pt>
                <c:pt idx="180">
                  <c:v>7144</c:v>
                </c:pt>
                <c:pt idx="181">
                  <c:v>2106</c:v>
                </c:pt>
                <c:pt idx="182">
                  <c:v>4152</c:v>
                </c:pt>
                <c:pt idx="183">
                  <c:v>5400</c:v>
                </c:pt>
                <c:pt idx="184">
                  <c:v>7428</c:v>
                </c:pt>
                <c:pt idx="185">
                  <c:v>5351</c:v>
                </c:pt>
                <c:pt idx="186">
                  <c:v>4299</c:v>
                </c:pt>
                <c:pt idx="187">
                  <c:v>6107</c:v>
                </c:pt>
                <c:pt idx="188">
                  <c:v>6429</c:v>
                </c:pt>
                <c:pt idx="189">
                  <c:v>6880</c:v>
                </c:pt>
                <c:pt idx="190">
                  <c:v>7476</c:v>
                </c:pt>
                <c:pt idx="191">
                  <c:v>6581</c:v>
                </c:pt>
                <c:pt idx="192">
                  <c:v>10480</c:v>
                </c:pt>
                <c:pt idx="193">
                  <c:v>7734</c:v>
                </c:pt>
                <c:pt idx="194">
                  <c:v>5129</c:v>
                </c:pt>
                <c:pt idx="195">
                  <c:v>2993</c:v>
                </c:pt>
                <c:pt idx="196">
                  <c:v>8</c:v>
                </c:pt>
                <c:pt idx="197">
                  <c:v>0</c:v>
                </c:pt>
                <c:pt idx="198">
                  <c:v>0</c:v>
                </c:pt>
                <c:pt idx="199">
                  <c:v>8433</c:v>
                </c:pt>
                <c:pt idx="200">
                  <c:v>0</c:v>
                </c:pt>
                <c:pt idx="201">
                  <c:v>2139</c:v>
                </c:pt>
                <c:pt idx="202">
                  <c:v>0</c:v>
                </c:pt>
                <c:pt idx="203">
                  <c:v>949</c:v>
                </c:pt>
                <c:pt idx="204">
                  <c:v>0</c:v>
                </c:pt>
                <c:pt idx="205">
                  <c:v>44</c:v>
                </c:pt>
                <c:pt idx="206">
                  <c:v>2660</c:v>
                </c:pt>
                <c:pt idx="207">
                  <c:v>5561</c:v>
                </c:pt>
                <c:pt idx="208">
                  <c:v>7239</c:v>
                </c:pt>
                <c:pt idx="209">
                  <c:v>7</c:v>
                </c:pt>
                <c:pt idx="210">
                  <c:v>0</c:v>
                </c:pt>
                <c:pt idx="211">
                  <c:v>0</c:v>
                </c:pt>
                <c:pt idx="212">
                  <c:v>2275</c:v>
                </c:pt>
                <c:pt idx="213">
                  <c:v>8</c:v>
                </c:pt>
                <c:pt idx="214">
                  <c:v>5137</c:v>
                </c:pt>
                <c:pt idx="215">
                  <c:v>5419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18</c:v>
                </c:pt>
                <c:pt idx="223">
                  <c:v>4</c:v>
                </c:pt>
                <c:pt idx="224">
                  <c:v>8426</c:v>
                </c:pt>
                <c:pt idx="225">
                  <c:v>1650</c:v>
                </c:pt>
                <c:pt idx="226">
                  <c:v>3434</c:v>
                </c:pt>
                <c:pt idx="227">
                  <c:v>6801</c:v>
                </c:pt>
                <c:pt idx="228">
                  <c:v>187</c:v>
                </c:pt>
                <c:pt idx="229">
                  <c:v>5643</c:v>
                </c:pt>
                <c:pt idx="230">
                  <c:v>9043</c:v>
                </c:pt>
                <c:pt idx="231">
                  <c:v>8144</c:v>
                </c:pt>
                <c:pt idx="232">
                  <c:v>9343</c:v>
                </c:pt>
                <c:pt idx="233">
                  <c:v>8405</c:v>
                </c:pt>
                <c:pt idx="234">
                  <c:v>8223</c:v>
                </c:pt>
                <c:pt idx="235">
                  <c:v>10067</c:v>
                </c:pt>
                <c:pt idx="236">
                  <c:v>8359</c:v>
                </c:pt>
                <c:pt idx="237">
                  <c:v>10946</c:v>
                </c:pt>
                <c:pt idx="238">
                  <c:v>9130</c:v>
                </c:pt>
                <c:pt idx="239">
                  <c:v>6544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2303</c:v>
                </c:pt>
                <c:pt idx="250">
                  <c:v>2600</c:v>
                </c:pt>
                <c:pt idx="251">
                  <c:v>4804</c:v>
                </c:pt>
                <c:pt idx="252">
                  <c:v>3271</c:v>
                </c:pt>
                <c:pt idx="253">
                  <c:v>5406</c:v>
                </c:pt>
                <c:pt idx="254">
                  <c:v>3146</c:v>
                </c:pt>
                <c:pt idx="255">
                  <c:v>2422</c:v>
                </c:pt>
                <c:pt idx="256">
                  <c:v>4239</c:v>
                </c:pt>
                <c:pt idx="257">
                  <c:v>6911</c:v>
                </c:pt>
                <c:pt idx="258">
                  <c:v>6667</c:v>
                </c:pt>
                <c:pt idx="259">
                  <c:v>5543</c:v>
                </c:pt>
                <c:pt idx="260">
                  <c:v>4195</c:v>
                </c:pt>
                <c:pt idx="261">
                  <c:v>6625</c:v>
                </c:pt>
                <c:pt idx="262">
                  <c:v>5986</c:v>
                </c:pt>
                <c:pt idx="263">
                  <c:v>278</c:v>
                </c:pt>
                <c:pt idx="264">
                  <c:v>5336</c:v>
                </c:pt>
                <c:pt idx="265">
                  <c:v>3183</c:v>
                </c:pt>
                <c:pt idx="266">
                  <c:v>6176</c:v>
                </c:pt>
                <c:pt idx="267">
                  <c:v>8205</c:v>
                </c:pt>
                <c:pt idx="268">
                  <c:v>6799</c:v>
                </c:pt>
                <c:pt idx="269">
                  <c:v>5668</c:v>
                </c:pt>
                <c:pt idx="270">
                  <c:v>7998</c:v>
                </c:pt>
                <c:pt idx="271">
                  <c:v>4195</c:v>
                </c:pt>
                <c:pt idx="272">
                  <c:v>5512</c:v>
                </c:pt>
                <c:pt idx="273">
                  <c:v>6263</c:v>
                </c:pt>
                <c:pt idx="274">
                  <c:v>8828</c:v>
                </c:pt>
                <c:pt idx="275">
                  <c:v>1260</c:v>
                </c:pt>
                <c:pt idx="276">
                  <c:v>6506</c:v>
                </c:pt>
                <c:pt idx="277">
                  <c:v>7583</c:v>
                </c:pt>
                <c:pt idx="278">
                  <c:v>6963</c:v>
                </c:pt>
                <c:pt idx="279">
                  <c:v>7165</c:v>
                </c:pt>
                <c:pt idx="280">
                  <c:v>10328</c:v>
                </c:pt>
                <c:pt idx="281">
                  <c:v>12116</c:v>
                </c:pt>
                <c:pt idx="282">
                  <c:v>7810</c:v>
                </c:pt>
                <c:pt idx="283">
                  <c:v>6670</c:v>
                </c:pt>
                <c:pt idx="284">
                  <c:v>7605</c:v>
                </c:pt>
                <c:pt idx="285">
                  <c:v>6585</c:v>
                </c:pt>
                <c:pt idx="286">
                  <c:v>8184</c:v>
                </c:pt>
                <c:pt idx="287">
                  <c:v>14002</c:v>
                </c:pt>
                <c:pt idx="288">
                  <c:v>11135</c:v>
                </c:pt>
                <c:pt idx="289">
                  <c:v>6499</c:v>
                </c:pt>
                <c:pt idx="290">
                  <c:v>0</c:v>
                </c:pt>
                <c:pt idx="291">
                  <c:v>12409</c:v>
                </c:pt>
                <c:pt idx="292">
                  <c:v>2937</c:v>
                </c:pt>
                <c:pt idx="293">
                  <c:v>1515</c:v>
                </c:pt>
                <c:pt idx="294">
                  <c:v>8921</c:v>
                </c:pt>
                <c:pt idx="295">
                  <c:v>11306</c:v>
                </c:pt>
                <c:pt idx="296">
                  <c:v>12252</c:v>
                </c:pt>
                <c:pt idx="297">
                  <c:v>15444</c:v>
                </c:pt>
                <c:pt idx="298">
                  <c:v>9938</c:v>
                </c:pt>
                <c:pt idx="299">
                  <c:v>4599</c:v>
                </c:pt>
                <c:pt idx="300">
                  <c:v>5594</c:v>
                </c:pt>
                <c:pt idx="301">
                  <c:v>11906</c:v>
                </c:pt>
                <c:pt idx="302">
                  <c:v>3436</c:v>
                </c:pt>
                <c:pt idx="303">
                  <c:v>10461</c:v>
                </c:pt>
                <c:pt idx="304">
                  <c:v>14873</c:v>
                </c:pt>
                <c:pt idx="305">
                  <c:v>9917</c:v>
                </c:pt>
                <c:pt idx="306">
                  <c:v>7401</c:v>
                </c:pt>
                <c:pt idx="307">
                  <c:v>8964</c:v>
                </c:pt>
                <c:pt idx="308">
                  <c:v>11080</c:v>
                </c:pt>
                <c:pt idx="309">
                  <c:v>4499</c:v>
                </c:pt>
                <c:pt idx="310">
                  <c:v>4363</c:v>
                </c:pt>
                <c:pt idx="311">
                  <c:v>10494</c:v>
                </c:pt>
                <c:pt idx="312">
                  <c:v>9776</c:v>
                </c:pt>
                <c:pt idx="313">
                  <c:v>2862</c:v>
                </c:pt>
                <c:pt idx="314">
                  <c:v>7444</c:v>
                </c:pt>
                <c:pt idx="315">
                  <c:v>19658</c:v>
                </c:pt>
                <c:pt idx="316">
                  <c:v>0</c:v>
                </c:pt>
                <c:pt idx="317">
                  <c:v>8468</c:v>
                </c:pt>
                <c:pt idx="318">
                  <c:v>9910</c:v>
                </c:pt>
                <c:pt idx="319">
                  <c:v>12409</c:v>
                </c:pt>
                <c:pt idx="320">
                  <c:v>4853</c:v>
                </c:pt>
                <c:pt idx="321">
                  <c:v>8955</c:v>
                </c:pt>
                <c:pt idx="322">
                  <c:v>10789</c:v>
                </c:pt>
                <c:pt idx="323">
                  <c:v>0</c:v>
                </c:pt>
                <c:pt idx="324">
                  <c:v>6633</c:v>
                </c:pt>
                <c:pt idx="325">
                  <c:v>9548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2101</c:v>
                </c:pt>
                <c:pt idx="336">
                  <c:v>0</c:v>
                </c:pt>
                <c:pt idx="337">
                  <c:v>0</c:v>
                </c:pt>
                <c:pt idx="338">
                  <c:v>9766</c:v>
                </c:pt>
                <c:pt idx="339">
                  <c:v>165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7225</c:v>
                </c:pt>
                <c:pt idx="344">
                  <c:v>1988</c:v>
                </c:pt>
                <c:pt idx="345">
                  <c:v>1577</c:v>
                </c:pt>
                <c:pt idx="346">
                  <c:v>0</c:v>
                </c:pt>
                <c:pt idx="347">
                  <c:v>9348</c:v>
                </c:pt>
                <c:pt idx="348">
                  <c:v>11761</c:v>
                </c:pt>
                <c:pt idx="349">
                  <c:v>13987</c:v>
                </c:pt>
                <c:pt idx="350">
                  <c:v>4131</c:v>
                </c:pt>
                <c:pt idx="351">
                  <c:v>14</c:v>
                </c:pt>
                <c:pt idx="352">
                  <c:v>15491</c:v>
                </c:pt>
                <c:pt idx="353">
                  <c:v>14097</c:v>
                </c:pt>
                <c:pt idx="354">
                  <c:v>10467</c:v>
                </c:pt>
                <c:pt idx="355">
                  <c:v>12437</c:v>
                </c:pt>
                <c:pt idx="356">
                  <c:v>12307</c:v>
                </c:pt>
                <c:pt idx="357">
                  <c:v>18952</c:v>
                </c:pt>
                <c:pt idx="358">
                  <c:v>12010</c:v>
                </c:pt>
                <c:pt idx="359">
                  <c:v>12480</c:v>
                </c:pt>
                <c:pt idx="360">
                  <c:v>13417</c:v>
                </c:pt>
                <c:pt idx="361">
                  <c:v>14400</c:v>
                </c:pt>
                <c:pt idx="362">
                  <c:v>12495</c:v>
                </c:pt>
                <c:pt idx="363">
                  <c:v>10148</c:v>
                </c:pt>
                <c:pt idx="364">
                  <c:v>12362</c:v>
                </c:pt>
                <c:pt idx="365">
                  <c:v>5893</c:v>
                </c:pt>
                <c:pt idx="366">
                  <c:v>11680</c:v>
                </c:pt>
                <c:pt idx="367">
                  <c:v>10976</c:v>
                </c:pt>
                <c:pt idx="368">
                  <c:v>16806</c:v>
                </c:pt>
                <c:pt idx="369">
                  <c:v>15266</c:v>
                </c:pt>
                <c:pt idx="370">
                  <c:v>12084</c:v>
                </c:pt>
                <c:pt idx="371">
                  <c:v>13513</c:v>
                </c:pt>
                <c:pt idx="372">
                  <c:v>14100</c:v>
                </c:pt>
                <c:pt idx="373">
                  <c:v>12627</c:v>
                </c:pt>
                <c:pt idx="374">
                  <c:v>10345</c:v>
                </c:pt>
                <c:pt idx="375">
                  <c:v>10146</c:v>
                </c:pt>
                <c:pt idx="376">
                  <c:v>12168</c:v>
                </c:pt>
                <c:pt idx="377">
                  <c:v>7413</c:v>
                </c:pt>
                <c:pt idx="378">
                  <c:v>11463</c:v>
                </c:pt>
                <c:pt idx="379">
                  <c:v>87</c:v>
                </c:pt>
                <c:pt idx="380">
                  <c:v>1949</c:v>
                </c:pt>
                <c:pt idx="381">
                  <c:v>6101</c:v>
                </c:pt>
                <c:pt idx="382">
                  <c:v>7478</c:v>
                </c:pt>
                <c:pt idx="383">
                  <c:v>7352</c:v>
                </c:pt>
                <c:pt idx="384">
                  <c:v>14604</c:v>
                </c:pt>
                <c:pt idx="385">
                  <c:v>9634</c:v>
                </c:pt>
                <c:pt idx="386">
                  <c:v>7338</c:v>
                </c:pt>
                <c:pt idx="387">
                  <c:v>569</c:v>
                </c:pt>
                <c:pt idx="388">
                  <c:v>6242</c:v>
                </c:pt>
                <c:pt idx="389">
                  <c:v>430</c:v>
                </c:pt>
                <c:pt idx="390">
                  <c:v>20188</c:v>
                </c:pt>
                <c:pt idx="391">
                  <c:v>25701</c:v>
                </c:pt>
                <c:pt idx="392">
                  <c:v>17395</c:v>
                </c:pt>
                <c:pt idx="393">
                  <c:v>17167</c:v>
                </c:pt>
                <c:pt idx="394">
                  <c:v>16435</c:v>
                </c:pt>
                <c:pt idx="395">
                  <c:v>17078</c:v>
                </c:pt>
                <c:pt idx="396">
                  <c:v>11693</c:v>
                </c:pt>
                <c:pt idx="397">
                  <c:v>11159</c:v>
                </c:pt>
                <c:pt idx="398">
                  <c:v>10118</c:v>
                </c:pt>
                <c:pt idx="399">
                  <c:v>16064</c:v>
                </c:pt>
                <c:pt idx="400">
                  <c:v>290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1931</c:v>
                </c:pt>
                <c:pt idx="407">
                  <c:v>5181</c:v>
                </c:pt>
                <c:pt idx="408">
                  <c:v>12026</c:v>
                </c:pt>
                <c:pt idx="409">
                  <c:v>5360</c:v>
                </c:pt>
                <c:pt idx="410">
                  <c:v>2545</c:v>
                </c:pt>
                <c:pt idx="411">
                  <c:v>1636</c:v>
                </c:pt>
                <c:pt idx="412">
                  <c:v>0</c:v>
                </c:pt>
                <c:pt idx="413">
                  <c:v>14179</c:v>
                </c:pt>
                <c:pt idx="414">
                  <c:v>3358</c:v>
                </c:pt>
                <c:pt idx="415">
                  <c:v>9152</c:v>
                </c:pt>
                <c:pt idx="416">
                  <c:v>13935</c:v>
                </c:pt>
                <c:pt idx="417">
                  <c:v>12846</c:v>
                </c:pt>
                <c:pt idx="418">
                  <c:v>9124</c:v>
                </c:pt>
                <c:pt idx="419">
                  <c:v>9725</c:v>
                </c:pt>
                <c:pt idx="420">
                  <c:v>8350</c:v>
                </c:pt>
                <c:pt idx="421">
                  <c:v>2240</c:v>
                </c:pt>
                <c:pt idx="422">
                  <c:v>2631</c:v>
                </c:pt>
                <c:pt idx="423">
                  <c:v>8837</c:v>
                </c:pt>
                <c:pt idx="424">
                  <c:v>3246</c:v>
                </c:pt>
                <c:pt idx="425">
                  <c:v>2174</c:v>
                </c:pt>
                <c:pt idx="426">
                  <c:v>3494</c:v>
                </c:pt>
                <c:pt idx="427">
                  <c:v>2380</c:v>
                </c:pt>
                <c:pt idx="428">
                  <c:v>3159</c:v>
                </c:pt>
                <c:pt idx="429">
                  <c:v>6835</c:v>
                </c:pt>
                <c:pt idx="430">
                  <c:v>2098</c:v>
                </c:pt>
                <c:pt idx="431">
                  <c:v>2816</c:v>
                </c:pt>
                <c:pt idx="432">
                  <c:v>1408</c:v>
                </c:pt>
                <c:pt idx="433">
                  <c:v>4592</c:v>
                </c:pt>
                <c:pt idx="434">
                  <c:v>8452</c:v>
                </c:pt>
                <c:pt idx="435">
                  <c:v>7238</c:v>
                </c:pt>
                <c:pt idx="436">
                  <c:v>3821</c:v>
                </c:pt>
                <c:pt idx="437">
                  <c:v>2332</c:v>
                </c:pt>
                <c:pt idx="438">
                  <c:v>2121</c:v>
                </c:pt>
                <c:pt idx="439">
                  <c:v>1291</c:v>
                </c:pt>
                <c:pt idx="440">
                  <c:v>1467</c:v>
                </c:pt>
                <c:pt idx="441">
                  <c:v>1022</c:v>
                </c:pt>
                <c:pt idx="442">
                  <c:v>4605</c:v>
                </c:pt>
                <c:pt idx="443">
                  <c:v>178</c:v>
                </c:pt>
                <c:pt idx="444">
                  <c:v>20</c:v>
                </c:pt>
                <c:pt idx="445">
                  <c:v>18700</c:v>
                </c:pt>
                <c:pt idx="446">
                  <c:v>27572</c:v>
                </c:pt>
                <c:pt idx="447">
                  <c:v>15260</c:v>
                </c:pt>
                <c:pt idx="448">
                  <c:v>20779</c:v>
                </c:pt>
                <c:pt idx="449">
                  <c:v>10695</c:v>
                </c:pt>
                <c:pt idx="450">
                  <c:v>24136</c:v>
                </c:pt>
                <c:pt idx="451">
                  <c:v>10910</c:v>
                </c:pt>
                <c:pt idx="452">
                  <c:v>23014</c:v>
                </c:pt>
                <c:pt idx="453">
                  <c:v>16470</c:v>
                </c:pt>
                <c:pt idx="454">
                  <c:v>28497</c:v>
                </c:pt>
                <c:pt idx="455">
                  <c:v>10622</c:v>
                </c:pt>
                <c:pt idx="456">
                  <c:v>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CB-4883-ACF0-5C33ABA75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6392648"/>
        <c:axId val="576396912"/>
      </c:lineChart>
      <c:lineChart>
        <c:grouping val="stacked"/>
        <c:varyColors val="0"/>
        <c:ser>
          <c:idx val="1"/>
          <c:order val="1"/>
          <c:tx>
            <c:strRef>
              <c:f>Case_Study!$F$1</c:f>
              <c:strCache>
                <c:ptCount val="1"/>
                <c:pt idx="0">
                  <c:v>Calories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Case_Study!$F$2:$F$458</c:f>
              <c:numCache>
                <c:formatCode>0</c:formatCode>
                <c:ptCount val="457"/>
                <c:pt idx="0">
                  <c:v>1819</c:v>
                </c:pt>
                <c:pt idx="1">
                  <c:v>2154</c:v>
                </c:pt>
                <c:pt idx="2">
                  <c:v>1944</c:v>
                </c:pt>
                <c:pt idx="3">
                  <c:v>1932</c:v>
                </c:pt>
                <c:pt idx="4">
                  <c:v>1886</c:v>
                </c:pt>
                <c:pt idx="5">
                  <c:v>1820</c:v>
                </c:pt>
                <c:pt idx="6">
                  <c:v>1889</c:v>
                </c:pt>
                <c:pt idx="7">
                  <c:v>1868</c:v>
                </c:pt>
                <c:pt idx="8">
                  <c:v>1843</c:v>
                </c:pt>
                <c:pt idx="9">
                  <c:v>1850</c:v>
                </c:pt>
                <c:pt idx="10">
                  <c:v>2030</c:v>
                </c:pt>
                <c:pt idx="11">
                  <c:v>2083</c:v>
                </c:pt>
                <c:pt idx="12">
                  <c:v>1861</c:v>
                </c:pt>
                <c:pt idx="13">
                  <c:v>1755</c:v>
                </c:pt>
                <c:pt idx="14">
                  <c:v>1895</c:v>
                </c:pt>
                <c:pt idx="15">
                  <c:v>1883</c:v>
                </c:pt>
                <c:pt idx="16">
                  <c:v>1755</c:v>
                </c:pt>
                <c:pt idx="17">
                  <c:v>1811</c:v>
                </c:pt>
                <c:pt idx="18">
                  <c:v>50</c:v>
                </c:pt>
                <c:pt idx="19">
                  <c:v>1373</c:v>
                </c:pt>
                <c:pt idx="20">
                  <c:v>1264</c:v>
                </c:pt>
                <c:pt idx="21">
                  <c:v>1350</c:v>
                </c:pt>
                <c:pt idx="22">
                  <c:v>1342</c:v>
                </c:pt>
                <c:pt idx="23">
                  <c:v>1300</c:v>
                </c:pt>
                <c:pt idx="24">
                  <c:v>1313</c:v>
                </c:pt>
                <c:pt idx="25">
                  <c:v>1498</c:v>
                </c:pt>
                <c:pt idx="26">
                  <c:v>1541</c:v>
                </c:pt>
                <c:pt idx="27">
                  <c:v>1327</c:v>
                </c:pt>
                <c:pt idx="28">
                  <c:v>1452</c:v>
                </c:pt>
                <c:pt idx="29">
                  <c:v>1574</c:v>
                </c:pt>
                <c:pt idx="30">
                  <c:v>1308</c:v>
                </c:pt>
                <c:pt idx="31">
                  <c:v>1276</c:v>
                </c:pt>
                <c:pt idx="32">
                  <c:v>1278</c:v>
                </c:pt>
                <c:pt idx="33">
                  <c:v>1409</c:v>
                </c:pt>
                <c:pt idx="34">
                  <c:v>1370</c:v>
                </c:pt>
                <c:pt idx="35">
                  <c:v>1555</c:v>
                </c:pt>
                <c:pt idx="36">
                  <c:v>1469</c:v>
                </c:pt>
                <c:pt idx="37">
                  <c:v>706</c:v>
                </c:pt>
                <c:pt idx="38">
                  <c:v>3323</c:v>
                </c:pt>
                <c:pt idx="39">
                  <c:v>4029</c:v>
                </c:pt>
                <c:pt idx="40">
                  <c:v>3436</c:v>
                </c:pt>
                <c:pt idx="41">
                  <c:v>2444</c:v>
                </c:pt>
                <c:pt idx="42">
                  <c:v>3098</c:v>
                </c:pt>
                <c:pt idx="43">
                  <c:v>2925</c:v>
                </c:pt>
                <c:pt idx="44">
                  <c:v>3202</c:v>
                </c:pt>
                <c:pt idx="45">
                  <c:v>2928</c:v>
                </c:pt>
                <c:pt idx="46">
                  <c:v>3290</c:v>
                </c:pt>
                <c:pt idx="47">
                  <c:v>489</c:v>
                </c:pt>
                <c:pt idx="48">
                  <c:v>1969</c:v>
                </c:pt>
                <c:pt idx="49">
                  <c:v>1889</c:v>
                </c:pt>
                <c:pt idx="50">
                  <c:v>1636</c:v>
                </c:pt>
                <c:pt idx="51">
                  <c:v>1347</c:v>
                </c:pt>
                <c:pt idx="52">
                  <c:v>1347</c:v>
                </c:pt>
                <c:pt idx="53">
                  <c:v>1349</c:v>
                </c:pt>
                <c:pt idx="54">
                  <c:v>1965</c:v>
                </c:pt>
                <c:pt idx="55">
                  <c:v>1824</c:v>
                </c:pt>
                <c:pt idx="56">
                  <c:v>1807</c:v>
                </c:pt>
                <c:pt idx="57">
                  <c:v>1971</c:v>
                </c:pt>
                <c:pt idx="58">
                  <c:v>1888</c:v>
                </c:pt>
                <c:pt idx="59">
                  <c:v>399</c:v>
                </c:pt>
                <c:pt idx="60">
                  <c:v>2590</c:v>
                </c:pt>
                <c:pt idx="61">
                  <c:v>2783</c:v>
                </c:pt>
                <c:pt idx="62">
                  <c:v>2449</c:v>
                </c:pt>
                <c:pt idx="63">
                  <c:v>2380</c:v>
                </c:pt>
                <c:pt idx="64">
                  <c:v>2344</c:v>
                </c:pt>
                <c:pt idx="65">
                  <c:v>2202</c:v>
                </c:pt>
                <c:pt idx="66">
                  <c:v>2130</c:v>
                </c:pt>
                <c:pt idx="67">
                  <c:v>2088</c:v>
                </c:pt>
                <c:pt idx="68">
                  <c:v>2443</c:v>
                </c:pt>
                <c:pt idx="69">
                  <c:v>2442</c:v>
                </c:pt>
                <c:pt idx="70">
                  <c:v>2255</c:v>
                </c:pt>
                <c:pt idx="71">
                  <c:v>942</c:v>
                </c:pt>
                <c:pt idx="72">
                  <c:v>2645</c:v>
                </c:pt>
                <c:pt idx="73">
                  <c:v>2040</c:v>
                </c:pt>
                <c:pt idx="74">
                  <c:v>2395</c:v>
                </c:pt>
                <c:pt idx="75">
                  <c:v>2581</c:v>
                </c:pt>
                <c:pt idx="76">
                  <c:v>2735</c:v>
                </c:pt>
                <c:pt idx="77">
                  <c:v>2733</c:v>
                </c:pt>
                <c:pt idx="78">
                  <c:v>3021</c:v>
                </c:pt>
                <c:pt idx="79">
                  <c:v>2577</c:v>
                </c:pt>
                <c:pt idx="80">
                  <c:v>2811</c:v>
                </c:pt>
                <c:pt idx="81">
                  <c:v>2458</c:v>
                </c:pt>
                <c:pt idx="82">
                  <c:v>2568</c:v>
                </c:pt>
                <c:pt idx="83">
                  <c:v>1140</c:v>
                </c:pt>
                <c:pt idx="84">
                  <c:v>1407</c:v>
                </c:pt>
                <c:pt idx="85">
                  <c:v>1237</c:v>
                </c:pt>
                <c:pt idx="86">
                  <c:v>1330</c:v>
                </c:pt>
                <c:pt idx="87">
                  <c:v>1583</c:v>
                </c:pt>
                <c:pt idx="88">
                  <c:v>1538</c:v>
                </c:pt>
                <c:pt idx="89">
                  <c:v>1421</c:v>
                </c:pt>
                <c:pt idx="90">
                  <c:v>1392</c:v>
                </c:pt>
                <c:pt idx="91">
                  <c:v>1425</c:v>
                </c:pt>
                <c:pt idx="92">
                  <c:v>1413</c:v>
                </c:pt>
                <c:pt idx="93">
                  <c:v>1515</c:v>
                </c:pt>
                <c:pt idx="94">
                  <c:v>1405</c:v>
                </c:pt>
                <c:pt idx="95">
                  <c:v>600</c:v>
                </c:pt>
                <c:pt idx="96">
                  <c:v>1324</c:v>
                </c:pt>
                <c:pt idx="97">
                  <c:v>1324</c:v>
                </c:pt>
                <c:pt idx="98">
                  <c:v>1324</c:v>
                </c:pt>
                <c:pt idx="99">
                  <c:v>1324</c:v>
                </c:pt>
                <c:pt idx="100">
                  <c:v>1708</c:v>
                </c:pt>
                <c:pt idx="101">
                  <c:v>1950</c:v>
                </c:pt>
                <c:pt idx="102">
                  <c:v>1508</c:v>
                </c:pt>
                <c:pt idx="103">
                  <c:v>1625</c:v>
                </c:pt>
                <c:pt idx="104">
                  <c:v>1772</c:v>
                </c:pt>
                <c:pt idx="105">
                  <c:v>1530</c:v>
                </c:pt>
                <c:pt idx="106">
                  <c:v>2206</c:v>
                </c:pt>
                <c:pt idx="107">
                  <c:v>790</c:v>
                </c:pt>
                <c:pt idx="108">
                  <c:v>2041</c:v>
                </c:pt>
                <c:pt idx="109">
                  <c:v>2187</c:v>
                </c:pt>
                <c:pt idx="110">
                  <c:v>1929</c:v>
                </c:pt>
                <c:pt idx="111">
                  <c:v>1935</c:v>
                </c:pt>
                <c:pt idx="112">
                  <c:v>2438</c:v>
                </c:pt>
                <c:pt idx="113">
                  <c:v>2035</c:v>
                </c:pt>
                <c:pt idx="114">
                  <c:v>2099</c:v>
                </c:pt>
                <c:pt idx="115">
                  <c:v>2096</c:v>
                </c:pt>
                <c:pt idx="116">
                  <c:v>2058</c:v>
                </c:pt>
                <c:pt idx="117">
                  <c:v>2338</c:v>
                </c:pt>
                <c:pt idx="118">
                  <c:v>2104</c:v>
                </c:pt>
                <c:pt idx="119">
                  <c:v>2488</c:v>
                </c:pt>
                <c:pt idx="120">
                  <c:v>2164</c:v>
                </c:pt>
                <c:pt idx="121">
                  <c:v>2009</c:v>
                </c:pt>
                <c:pt idx="122">
                  <c:v>399</c:v>
                </c:pt>
                <c:pt idx="123">
                  <c:v>1335</c:v>
                </c:pt>
                <c:pt idx="124">
                  <c:v>1559</c:v>
                </c:pt>
                <c:pt idx="125">
                  <c:v>1845</c:v>
                </c:pt>
                <c:pt idx="126">
                  <c:v>2046</c:v>
                </c:pt>
                <c:pt idx="127">
                  <c:v>1953</c:v>
                </c:pt>
                <c:pt idx="128">
                  <c:v>1910</c:v>
                </c:pt>
                <c:pt idx="129">
                  <c:v>2035</c:v>
                </c:pt>
                <c:pt idx="130">
                  <c:v>1944</c:v>
                </c:pt>
                <c:pt idx="131">
                  <c:v>2257</c:v>
                </c:pt>
                <c:pt idx="132">
                  <c:v>1724</c:v>
                </c:pt>
                <c:pt idx="133">
                  <c:v>1741</c:v>
                </c:pt>
                <c:pt idx="134">
                  <c:v>0</c:v>
                </c:pt>
                <c:pt idx="135">
                  <c:v>1920</c:v>
                </c:pt>
                <c:pt idx="136">
                  <c:v>1920</c:v>
                </c:pt>
                <c:pt idx="137">
                  <c:v>1920</c:v>
                </c:pt>
                <c:pt idx="138">
                  <c:v>4562</c:v>
                </c:pt>
                <c:pt idx="139">
                  <c:v>2881</c:v>
                </c:pt>
                <c:pt idx="140">
                  <c:v>1920</c:v>
                </c:pt>
                <c:pt idx="141">
                  <c:v>1920</c:v>
                </c:pt>
                <c:pt idx="142">
                  <c:v>1144</c:v>
                </c:pt>
                <c:pt idx="143">
                  <c:v>1852</c:v>
                </c:pt>
                <c:pt idx="144">
                  <c:v>2069</c:v>
                </c:pt>
                <c:pt idx="145">
                  <c:v>1816</c:v>
                </c:pt>
                <c:pt idx="146">
                  <c:v>1878</c:v>
                </c:pt>
                <c:pt idx="147">
                  <c:v>1787</c:v>
                </c:pt>
                <c:pt idx="148">
                  <c:v>2010</c:v>
                </c:pt>
                <c:pt idx="149">
                  <c:v>2038</c:v>
                </c:pt>
                <c:pt idx="150">
                  <c:v>1815</c:v>
                </c:pt>
                <c:pt idx="151">
                  <c:v>2062</c:v>
                </c:pt>
                <c:pt idx="152">
                  <c:v>1276</c:v>
                </c:pt>
                <c:pt idx="153">
                  <c:v>1288</c:v>
                </c:pt>
                <c:pt idx="154">
                  <c:v>1490</c:v>
                </c:pt>
                <c:pt idx="155">
                  <c:v>1630</c:v>
                </c:pt>
                <c:pt idx="156">
                  <c:v>1648</c:v>
                </c:pt>
                <c:pt idx="157">
                  <c:v>1649</c:v>
                </c:pt>
                <c:pt idx="158">
                  <c:v>1783</c:v>
                </c:pt>
                <c:pt idx="159">
                  <c:v>1431</c:v>
                </c:pt>
                <c:pt idx="160">
                  <c:v>1524</c:v>
                </c:pt>
                <c:pt idx="161">
                  <c:v>1697</c:v>
                </c:pt>
                <c:pt idx="162">
                  <c:v>1232</c:v>
                </c:pt>
                <c:pt idx="163">
                  <c:v>1223</c:v>
                </c:pt>
                <c:pt idx="164">
                  <c:v>182</c:v>
                </c:pt>
                <c:pt idx="165">
                  <c:v>2990</c:v>
                </c:pt>
                <c:pt idx="166">
                  <c:v>2480</c:v>
                </c:pt>
                <c:pt idx="167">
                  <c:v>2570</c:v>
                </c:pt>
                <c:pt idx="168">
                  <c:v>3016</c:v>
                </c:pt>
                <c:pt idx="169">
                  <c:v>3830</c:v>
                </c:pt>
                <c:pt idx="170">
                  <c:v>3706</c:v>
                </c:pt>
                <c:pt idx="171">
                  <c:v>2024</c:v>
                </c:pt>
                <c:pt idx="172">
                  <c:v>2980</c:v>
                </c:pt>
                <c:pt idx="173">
                  <c:v>3728</c:v>
                </c:pt>
                <c:pt idx="174">
                  <c:v>3348</c:v>
                </c:pt>
                <c:pt idx="175">
                  <c:v>3162</c:v>
                </c:pt>
                <c:pt idx="176">
                  <c:v>3140</c:v>
                </c:pt>
                <c:pt idx="177">
                  <c:v>1980</c:v>
                </c:pt>
                <c:pt idx="178">
                  <c:v>3681</c:v>
                </c:pt>
                <c:pt idx="179">
                  <c:v>3444</c:v>
                </c:pt>
                <c:pt idx="180">
                  <c:v>3510</c:v>
                </c:pt>
                <c:pt idx="181">
                  <c:v>4010</c:v>
                </c:pt>
                <c:pt idx="182">
                  <c:v>2976</c:v>
                </c:pt>
                <c:pt idx="183">
                  <c:v>3418</c:v>
                </c:pt>
                <c:pt idx="184">
                  <c:v>3439</c:v>
                </c:pt>
                <c:pt idx="185">
                  <c:v>3338</c:v>
                </c:pt>
                <c:pt idx="186">
                  <c:v>2892</c:v>
                </c:pt>
                <c:pt idx="187">
                  <c:v>3313</c:v>
                </c:pt>
                <c:pt idx="188">
                  <c:v>3118</c:v>
                </c:pt>
                <c:pt idx="189">
                  <c:v>2966</c:v>
                </c:pt>
                <c:pt idx="190">
                  <c:v>3253</c:v>
                </c:pt>
                <c:pt idx="191">
                  <c:v>3032</c:v>
                </c:pt>
                <c:pt idx="192">
                  <c:v>4034</c:v>
                </c:pt>
                <c:pt idx="193">
                  <c:v>3264</c:v>
                </c:pt>
                <c:pt idx="194">
                  <c:v>2817</c:v>
                </c:pt>
                <c:pt idx="195">
                  <c:v>2507</c:v>
                </c:pt>
                <c:pt idx="196">
                  <c:v>446</c:v>
                </c:pt>
                <c:pt idx="197">
                  <c:v>1777</c:v>
                </c:pt>
                <c:pt idx="198">
                  <c:v>1777</c:v>
                </c:pt>
                <c:pt idx="199">
                  <c:v>2453</c:v>
                </c:pt>
                <c:pt idx="200">
                  <c:v>1776</c:v>
                </c:pt>
                <c:pt idx="201">
                  <c:v>1935</c:v>
                </c:pt>
                <c:pt idx="202">
                  <c:v>1776</c:v>
                </c:pt>
                <c:pt idx="203">
                  <c:v>1870</c:v>
                </c:pt>
                <c:pt idx="204">
                  <c:v>1777</c:v>
                </c:pt>
                <c:pt idx="205">
                  <c:v>1782</c:v>
                </c:pt>
                <c:pt idx="206">
                  <c:v>1978</c:v>
                </c:pt>
                <c:pt idx="207">
                  <c:v>2296</c:v>
                </c:pt>
                <c:pt idx="208">
                  <c:v>2484</c:v>
                </c:pt>
                <c:pt idx="209">
                  <c:v>1787</c:v>
                </c:pt>
                <c:pt idx="210">
                  <c:v>1776</c:v>
                </c:pt>
                <c:pt idx="211">
                  <c:v>1776</c:v>
                </c:pt>
                <c:pt idx="212">
                  <c:v>2005</c:v>
                </c:pt>
                <c:pt idx="213">
                  <c:v>1778</c:v>
                </c:pt>
                <c:pt idx="214">
                  <c:v>2293</c:v>
                </c:pt>
                <c:pt idx="215">
                  <c:v>2259</c:v>
                </c:pt>
                <c:pt idx="216">
                  <c:v>1776</c:v>
                </c:pt>
                <c:pt idx="217">
                  <c:v>1776</c:v>
                </c:pt>
                <c:pt idx="218">
                  <c:v>1776</c:v>
                </c:pt>
                <c:pt idx="219">
                  <c:v>1776</c:v>
                </c:pt>
                <c:pt idx="220">
                  <c:v>1776</c:v>
                </c:pt>
                <c:pt idx="221">
                  <c:v>1776</c:v>
                </c:pt>
                <c:pt idx="222">
                  <c:v>1780</c:v>
                </c:pt>
                <c:pt idx="223">
                  <c:v>1778</c:v>
                </c:pt>
                <c:pt idx="224">
                  <c:v>2360</c:v>
                </c:pt>
                <c:pt idx="225">
                  <c:v>1952</c:v>
                </c:pt>
                <c:pt idx="226">
                  <c:v>2101</c:v>
                </c:pt>
                <c:pt idx="227">
                  <c:v>2393</c:v>
                </c:pt>
                <c:pt idx="228">
                  <c:v>538</c:v>
                </c:pt>
                <c:pt idx="229">
                  <c:v>1958</c:v>
                </c:pt>
                <c:pt idx="230">
                  <c:v>2141</c:v>
                </c:pt>
                <c:pt idx="231">
                  <c:v>2129</c:v>
                </c:pt>
                <c:pt idx="232">
                  <c:v>2216</c:v>
                </c:pt>
                <c:pt idx="233">
                  <c:v>2154</c:v>
                </c:pt>
                <c:pt idx="234">
                  <c:v>2178</c:v>
                </c:pt>
                <c:pt idx="235">
                  <c:v>2308</c:v>
                </c:pt>
                <c:pt idx="236">
                  <c:v>2201</c:v>
                </c:pt>
                <c:pt idx="237">
                  <c:v>2341</c:v>
                </c:pt>
                <c:pt idx="238">
                  <c:v>2236</c:v>
                </c:pt>
                <c:pt idx="239">
                  <c:v>2069</c:v>
                </c:pt>
                <c:pt idx="240">
                  <c:v>0</c:v>
                </c:pt>
                <c:pt idx="241">
                  <c:v>1878</c:v>
                </c:pt>
                <c:pt idx="242">
                  <c:v>1878</c:v>
                </c:pt>
                <c:pt idx="243">
                  <c:v>1878</c:v>
                </c:pt>
                <c:pt idx="244">
                  <c:v>1878</c:v>
                </c:pt>
                <c:pt idx="245">
                  <c:v>1878</c:v>
                </c:pt>
                <c:pt idx="246">
                  <c:v>1878</c:v>
                </c:pt>
                <c:pt idx="247">
                  <c:v>1878</c:v>
                </c:pt>
                <c:pt idx="248">
                  <c:v>1296</c:v>
                </c:pt>
                <c:pt idx="249">
                  <c:v>2010</c:v>
                </c:pt>
                <c:pt idx="250">
                  <c:v>2032</c:v>
                </c:pt>
                <c:pt idx="251">
                  <c:v>2227</c:v>
                </c:pt>
                <c:pt idx="252">
                  <c:v>2133</c:v>
                </c:pt>
                <c:pt idx="253">
                  <c:v>2317</c:v>
                </c:pt>
                <c:pt idx="254">
                  <c:v>2058</c:v>
                </c:pt>
                <c:pt idx="255">
                  <c:v>1935</c:v>
                </c:pt>
                <c:pt idx="256">
                  <c:v>2217</c:v>
                </c:pt>
                <c:pt idx="257">
                  <c:v>2374</c:v>
                </c:pt>
                <c:pt idx="258">
                  <c:v>2335</c:v>
                </c:pt>
                <c:pt idx="259">
                  <c:v>2303</c:v>
                </c:pt>
                <c:pt idx="260">
                  <c:v>2210</c:v>
                </c:pt>
                <c:pt idx="261">
                  <c:v>2424</c:v>
                </c:pt>
                <c:pt idx="262">
                  <c:v>2297</c:v>
                </c:pt>
                <c:pt idx="263">
                  <c:v>745</c:v>
                </c:pt>
                <c:pt idx="264">
                  <c:v>1902</c:v>
                </c:pt>
                <c:pt idx="265">
                  <c:v>1680</c:v>
                </c:pt>
                <c:pt idx="266">
                  <c:v>1901</c:v>
                </c:pt>
                <c:pt idx="267">
                  <c:v>2078</c:v>
                </c:pt>
                <c:pt idx="268">
                  <c:v>1876</c:v>
                </c:pt>
                <c:pt idx="269">
                  <c:v>1853</c:v>
                </c:pt>
                <c:pt idx="270">
                  <c:v>2235</c:v>
                </c:pt>
                <c:pt idx="271">
                  <c:v>1778</c:v>
                </c:pt>
                <c:pt idx="272">
                  <c:v>1882</c:v>
                </c:pt>
                <c:pt idx="273">
                  <c:v>1906</c:v>
                </c:pt>
                <c:pt idx="274">
                  <c:v>2149</c:v>
                </c:pt>
                <c:pt idx="275">
                  <c:v>722</c:v>
                </c:pt>
                <c:pt idx="276">
                  <c:v>2886</c:v>
                </c:pt>
                <c:pt idx="277">
                  <c:v>2915</c:v>
                </c:pt>
                <c:pt idx="278">
                  <c:v>2895</c:v>
                </c:pt>
                <c:pt idx="279">
                  <c:v>2923</c:v>
                </c:pt>
                <c:pt idx="280">
                  <c:v>3323</c:v>
                </c:pt>
                <c:pt idx="281">
                  <c:v>3357</c:v>
                </c:pt>
                <c:pt idx="282">
                  <c:v>2931</c:v>
                </c:pt>
                <c:pt idx="283">
                  <c:v>2848</c:v>
                </c:pt>
                <c:pt idx="284">
                  <c:v>2943</c:v>
                </c:pt>
                <c:pt idx="285">
                  <c:v>2822</c:v>
                </c:pt>
                <c:pt idx="286">
                  <c:v>2981</c:v>
                </c:pt>
                <c:pt idx="287">
                  <c:v>3597</c:v>
                </c:pt>
                <c:pt idx="288">
                  <c:v>3224</c:v>
                </c:pt>
                <c:pt idx="289">
                  <c:v>2677</c:v>
                </c:pt>
                <c:pt idx="290">
                  <c:v>0</c:v>
                </c:pt>
                <c:pt idx="291">
                  <c:v>2142</c:v>
                </c:pt>
                <c:pt idx="292">
                  <c:v>1615</c:v>
                </c:pt>
                <c:pt idx="293">
                  <c:v>1481</c:v>
                </c:pt>
                <c:pt idx="294">
                  <c:v>1892</c:v>
                </c:pt>
                <c:pt idx="295">
                  <c:v>2086</c:v>
                </c:pt>
                <c:pt idx="296">
                  <c:v>2044</c:v>
                </c:pt>
                <c:pt idx="297">
                  <c:v>2249</c:v>
                </c:pt>
                <c:pt idx="298">
                  <c:v>2019</c:v>
                </c:pt>
                <c:pt idx="299">
                  <c:v>1692</c:v>
                </c:pt>
                <c:pt idx="300">
                  <c:v>1712</c:v>
                </c:pt>
                <c:pt idx="301">
                  <c:v>2065</c:v>
                </c:pt>
                <c:pt idx="302">
                  <c:v>633</c:v>
                </c:pt>
                <c:pt idx="303">
                  <c:v>3625</c:v>
                </c:pt>
                <c:pt idx="304">
                  <c:v>4430</c:v>
                </c:pt>
                <c:pt idx="305">
                  <c:v>3427</c:v>
                </c:pt>
                <c:pt idx="306">
                  <c:v>3492</c:v>
                </c:pt>
                <c:pt idx="307">
                  <c:v>3597</c:v>
                </c:pt>
                <c:pt idx="308">
                  <c:v>3765</c:v>
                </c:pt>
                <c:pt idx="309">
                  <c:v>2775</c:v>
                </c:pt>
                <c:pt idx="310">
                  <c:v>2486</c:v>
                </c:pt>
                <c:pt idx="311">
                  <c:v>3817</c:v>
                </c:pt>
                <c:pt idx="312">
                  <c:v>3378</c:v>
                </c:pt>
                <c:pt idx="313">
                  <c:v>1511</c:v>
                </c:pt>
                <c:pt idx="314">
                  <c:v>2210</c:v>
                </c:pt>
                <c:pt idx="315">
                  <c:v>2884</c:v>
                </c:pt>
                <c:pt idx="316">
                  <c:v>1496</c:v>
                </c:pt>
                <c:pt idx="317">
                  <c:v>2262</c:v>
                </c:pt>
                <c:pt idx="318">
                  <c:v>2445</c:v>
                </c:pt>
                <c:pt idx="319">
                  <c:v>2694</c:v>
                </c:pt>
                <c:pt idx="320">
                  <c:v>1903</c:v>
                </c:pt>
                <c:pt idx="321">
                  <c:v>2482</c:v>
                </c:pt>
                <c:pt idx="322">
                  <c:v>2617</c:v>
                </c:pt>
                <c:pt idx="323">
                  <c:v>0</c:v>
                </c:pt>
                <c:pt idx="324">
                  <c:v>2778</c:v>
                </c:pt>
                <c:pt idx="325">
                  <c:v>3119</c:v>
                </c:pt>
                <c:pt idx="326">
                  <c:v>2664</c:v>
                </c:pt>
                <c:pt idx="327">
                  <c:v>2060</c:v>
                </c:pt>
                <c:pt idx="328">
                  <c:v>2060</c:v>
                </c:pt>
                <c:pt idx="329">
                  <c:v>2060</c:v>
                </c:pt>
                <c:pt idx="330">
                  <c:v>2060</c:v>
                </c:pt>
                <c:pt idx="331">
                  <c:v>2060</c:v>
                </c:pt>
                <c:pt idx="332">
                  <c:v>2060</c:v>
                </c:pt>
                <c:pt idx="333">
                  <c:v>735</c:v>
                </c:pt>
                <c:pt idx="334">
                  <c:v>1820</c:v>
                </c:pt>
                <c:pt idx="335">
                  <c:v>2224</c:v>
                </c:pt>
                <c:pt idx="336">
                  <c:v>1820</c:v>
                </c:pt>
                <c:pt idx="337">
                  <c:v>1820</c:v>
                </c:pt>
                <c:pt idx="338">
                  <c:v>2442</c:v>
                </c:pt>
                <c:pt idx="339">
                  <c:v>1849</c:v>
                </c:pt>
                <c:pt idx="340">
                  <c:v>1822</c:v>
                </c:pt>
                <c:pt idx="341">
                  <c:v>1820</c:v>
                </c:pt>
                <c:pt idx="342">
                  <c:v>251</c:v>
                </c:pt>
                <c:pt idx="343">
                  <c:v>3065</c:v>
                </c:pt>
                <c:pt idx="344">
                  <c:v>2207</c:v>
                </c:pt>
                <c:pt idx="345">
                  <c:v>1977</c:v>
                </c:pt>
                <c:pt idx="346">
                  <c:v>1841</c:v>
                </c:pt>
                <c:pt idx="347">
                  <c:v>4286</c:v>
                </c:pt>
                <c:pt idx="348">
                  <c:v>3920</c:v>
                </c:pt>
                <c:pt idx="349">
                  <c:v>3856</c:v>
                </c:pt>
                <c:pt idx="350">
                  <c:v>2584</c:v>
                </c:pt>
                <c:pt idx="351">
                  <c:v>787</c:v>
                </c:pt>
                <c:pt idx="352">
                  <c:v>2244</c:v>
                </c:pt>
                <c:pt idx="353">
                  <c:v>2188</c:v>
                </c:pt>
                <c:pt idx="354">
                  <c:v>2014</c:v>
                </c:pt>
                <c:pt idx="355">
                  <c:v>2115</c:v>
                </c:pt>
                <c:pt idx="356">
                  <c:v>2055</c:v>
                </c:pt>
                <c:pt idx="357">
                  <c:v>2437</c:v>
                </c:pt>
                <c:pt idx="358">
                  <c:v>2158</c:v>
                </c:pt>
                <c:pt idx="359">
                  <c:v>2170</c:v>
                </c:pt>
                <c:pt idx="360">
                  <c:v>2244</c:v>
                </c:pt>
                <c:pt idx="361">
                  <c:v>2188</c:v>
                </c:pt>
                <c:pt idx="362">
                  <c:v>2231</c:v>
                </c:pt>
                <c:pt idx="363">
                  <c:v>2100</c:v>
                </c:pt>
                <c:pt idx="364">
                  <c:v>2188</c:v>
                </c:pt>
                <c:pt idx="365">
                  <c:v>917</c:v>
                </c:pt>
                <c:pt idx="366">
                  <c:v>2573</c:v>
                </c:pt>
                <c:pt idx="367">
                  <c:v>2575</c:v>
                </c:pt>
                <c:pt idx="368">
                  <c:v>3086</c:v>
                </c:pt>
                <c:pt idx="369">
                  <c:v>2886</c:v>
                </c:pt>
                <c:pt idx="370">
                  <c:v>2676</c:v>
                </c:pt>
                <c:pt idx="371">
                  <c:v>2811</c:v>
                </c:pt>
                <c:pt idx="372">
                  <c:v>2840</c:v>
                </c:pt>
                <c:pt idx="373">
                  <c:v>2871</c:v>
                </c:pt>
                <c:pt idx="374">
                  <c:v>2613</c:v>
                </c:pt>
                <c:pt idx="375">
                  <c:v>2700</c:v>
                </c:pt>
                <c:pt idx="376">
                  <c:v>2871</c:v>
                </c:pt>
                <c:pt idx="377">
                  <c:v>1023</c:v>
                </c:pt>
                <c:pt idx="378">
                  <c:v>2496</c:v>
                </c:pt>
                <c:pt idx="379">
                  <c:v>1641</c:v>
                </c:pt>
                <c:pt idx="380">
                  <c:v>1794</c:v>
                </c:pt>
                <c:pt idx="381">
                  <c:v>2421</c:v>
                </c:pt>
                <c:pt idx="382">
                  <c:v>2439</c:v>
                </c:pt>
                <c:pt idx="383">
                  <c:v>2233</c:v>
                </c:pt>
                <c:pt idx="384">
                  <c:v>2862</c:v>
                </c:pt>
                <c:pt idx="385">
                  <c:v>2752</c:v>
                </c:pt>
                <c:pt idx="386">
                  <c:v>2519</c:v>
                </c:pt>
                <c:pt idx="387">
                  <c:v>1799</c:v>
                </c:pt>
                <c:pt idx="388">
                  <c:v>2543</c:v>
                </c:pt>
                <c:pt idx="389">
                  <c:v>625</c:v>
                </c:pt>
                <c:pt idx="390">
                  <c:v>3377</c:v>
                </c:pt>
                <c:pt idx="391">
                  <c:v>3697</c:v>
                </c:pt>
                <c:pt idx="392">
                  <c:v>3209</c:v>
                </c:pt>
                <c:pt idx="393">
                  <c:v>3167</c:v>
                </c:pt>
                <c:pt idx="394">
                  <c:v>3122</c:v>
                </c:pt>
                <c:pt idx="395">
                  <c:v>3176</c:v>
                </c:pt>
                <c:pt idx="396">
                  <c:v>2790</c:v>
                </c:pt>
                <c:pt idx="397">
                  <c:v>2715</c:v>
                </c:pt>
                <c:pt idx="398">
                  <c:v>2684</c:v>
                </c:pt>
                <c:pt idx="399">
                  <c:v>3097</c:v>
                </c:pt>
                <c:pt idx="400">
                  <c:v>791</c:v>
                </c:pt>
                <c:pt idx="401">
                  <c:v>1429</c:v>
                </c:pt>
                <c:pt idx="402">
                  <c:v>1429</c:v>
                </c:pt>
                <c:pt idx="403">
                  <c:v>1429</c:v>
                </c:pt>
                <c:pt idx="404">
                  <c:v>1429</c:v>
                </c:pt>
                <c:pt idx="405">
                  <c:v>1429</c:v>
                </c:pt>
                <c:pt idx="406">
                  <c:v>1607</c:v>
                </c:pt>
                <c:pt idx="407">
                  <c:v>1776</c:v>
                </c:pt>
                <c:pt idx="408">
                  <c:v>2162</c:v>
                </c:pt>
                <c:pt idx="409">
                  <c:v>1832</c:v>
                </c:pt>
                <c:pt idx="410">
                  <c:v>1657</c:v>
                </c:pt>
                <c:pt idx="411">
                  <c:v>1377</c:v>
                </c:pt>
                <c:pt idx="412">
                  <c:v>0</c:v>
                </c:pt>
                <c:pt idx="413">
                  <c:v>3669</c:v>
                </c:pt>
                <c:pt idx="414">
                  <c:v>2702</c:v>
                </c:pt>
                <c:pt idx="415">
                  <c:v>3304</c:v>
                </c:pt>
                <c:pt idx="416">
                  <c:v>4234</c:v>
                </c:pt>
                <c:pt idx="417">
                  <c:v>4128</c:v>
                </c:pt>
                <c:pt idx="418">
                  <c:v>3798</c:v>
                </c:pt>
                <c:pt idx="419">
                  <c:v>3839</c:v>
                </c:pt>
                <c:pt idx="420">
                  <c:v>3713</c:v>
                </c:pt>
                <c:pt idx="421">
                  <c:v>2606</c:v>
                </c:pt>
                <c:pt idx="422">
                  <c:v>2624</c:v>
                </c:pt>
                <c:pt idx="423">
                  <c:v>3775</c:v>
                </c:pt>
                <c:pt idx="424">
                  <c:v>1882</c:v>
                </c:pt>
                <c:pt idx="425">
                  <c:v>2360</c:v>
                </c:pt>
                <c:pt idx="426">
                  <c:v>2517</c:v>
                </c:pt>
                <c:pt idx="427">
                  <c:v>2400</c:v>
                </c:pt>
                <c:pt idx="428">
                  <c:v>2462</c:v>
                </c:pt>
                <c:pt idx="429">
                  <c:v>2786</c:v>
                </c:pt>
                <c:pt idx="430">
                  <c:v>2354</c:v>
                </c:pt>
                <c:pt idx="431">
                  <c:v>2437</c:v>
                </c:pt>
                <c:pt idx="432">
                  <c:v>1814</c:v>
                </c:pt>
                <c:pt idx="433">
                  <c:v>2260</c:v>
                </c:pt>
                <c:pt idx="434">
                  <c:v>3004</c:v>
                </c:pt>
                <c:pt idx="435">
                  <c:v>2667</c:v>
                </c:pt>
                <c:pt idx="436">
                  <c:v>2229</c:v>
                </c:pt>
                <c:pt idx="437">
                  <c:v>2100</c:v>
                </c:pt>
                <c:pt idx="438">
                  <c:v>2114</c:v>
                </c:pt>
                <c:pt idx="439">
                  <c:v>1961</c:v>
                </c:pt>
                <c:pt idx="440">
                  <c:v>1953</c:v>
                </c:pt>
                <c:pt idx="441">
                  <c:v>1890</c:v>
                </c:pt>
                <c:pt idx="442">
                  <c:v>2253</c:v>
                </c:pt>
                <c:pt idx="443">
                  <c:v>1725</c:v>
                </c:pt>
                <c:pt idx="444">
                  <c:v>728</c:v>
                </c:pt>
                <c:pt idx="445">
                  <c:v>3527</c:v>
                </c:pt>
                <c:pt idx="446">
                  <c:v>4220</c:v>
                </c:pt>
                <c:pt idx="447">
                  <c:v>3864</c:v>
                </c:pt>
                <c:pt idx="448">
                  <c:v>3662</c:v>
                </c:pt>
                <c:pt idx="449">
                  <c:v>2834</c:v>
                </c:pt>
                <c:pt idx="450">
                  <c:v>4039</c:v>
                </c:pt>
                <c:pt idx="451">
                  <c:v>2947</c:v>
                </c:pt>
                <c:pt idx="452">
                  <c:v>4196</c:v>
                </c:pt>
                <c:pt idx="453">
                  <c:v>3841</c:v>
                </c:pt>
                <c:pt idx="454">
                  <c:v>4526</c:v>
                </c:pt>
                <c:pt idx="455">
                  <c:v>2820</c:v>
                </c:pt>
                <c:pt idx="456">
                  <c:v>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CB-4883-ACF0-5C33ABA75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935632"/>
        <c:axId val="676942520"/>
      </c:lineChart>
      <c:catAx>
        <c:axId val="576392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96912"/>
        <c:crosses val="autoZero"/>
        <c:auto val="1"/>
        <c:lblAlgn val="ctr"/>
        <c:lblOffset val="100"/>
        <c:noMultiLvlLbl val="0"/>
      </c:catAx>
      <c:valAx>
        <c:axId val="57639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92648"/>
        <c:crosses val="autoZero"/>
        <c:crossBetween val="between"/>
      </c:valAx>
      <c:valAx>
        <c:axId val="6769425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935632"/>
        <c:crosses val="max"/>
        <c:crossBetween val="between"/>
      </c:valAx>
      <c:catAx>
        <c:axId val="676935632"/>
        <c:scaling>
          <c:orientation val="minMax"/>
        </c:scaling>
        <c:delete val="1"/>
        <c:axPos val="b"/>
        <c:majorTickMark val="out"/>
        <c:minorTickMark val="none"/>
        <c:tickLblPos val="nextTo"/>
        <c:crossAx val="6769425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Case_Study!$F$1</c:f>
              <c:strCache>
                <c:ptCount val="1"/>
                <c:pt idx="0">
                  <c:v>Calories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1825411883755496E-2"/>
                  <c:y val="-6.85679368704826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Case_Study!$D$2:$D$458</c:f>
              <c:numCache>
                <c:formatCode>0</c:formatCode>
                <c:ptCount val="457"/>
                <c:pt idx="0">
                  <c:v>11004</c:v>
                </c:pt>
                <c:pt idx="1">
                  <c:v>17609</c:v>
                </c:pt>
                <c:pt idx="2">
                  <c:v>12736</c:v>
                </c:pt>
                <c:pt idx="3">
                  <c:v>13231</c:v>
                </c:pt>
                <c:pt idx="4">
                  <c:v>12041</c:v>
                </c:pt>
                <c:pt idx="5">
                  <c:v>10970</c:v>
                </c:pt>
                <c:pt idx="6">
                  <c:v>12256</c:v>
                </c:pt>
                <c:pt idx="7">
                  <c:v>12262</c:v>
                </c:pt>
                <c:pt idx="8">
                  <c:v>11248</c:v>
                </c:pt>
                <c:pt idx="9">
                  <c:v>10016</c:v>
                </c:pt>
                <c:pt idx="10">
                  <c:v>14557</c:v>
                </c:pt>
                <c:pt idx="11">
                  <c:v>14844</c:v>
                </c:pt>
                <c:pt idx="12">
                  <c:v>11974</c:v>
                </c:pt>
                <c:pt idx="13">
                  <c:v>10198</c:v>
                </c:pt>
                <c:pt idx="14">
                  <c:v>12521</c:v>
                </c:pt>
                <c:pt idx="15">
                  <c:v>12432</c:v>
                </c:pt>
                <c:pt idx="16">
                  <c:v>10057</c:v>
                </c:pt>
                <c:pt idx="17">
                  <c:v>10990</c:v>
                </c:pt>
                <c:pt idx="18">
                  <c:v>224</c:v>
                </c:pt>
                <c:pt idx="19">
                  <c:v>1810</c:v>
                </c:pt>
                <c:pt idx="20">
                  <c:v>815</c:v>
                </c:pt>
                <c:pt idx="21">
                  <c:v>1985</c:v>
                </c:pt>
                <c:pt idx="22">
                  <c:v>1905</c:v>
                </c:pt>
                <c:pt idx="23">
                  <c:v>1552</c:v>
                </c:pt>
                <c:pt idx="24">
                  <c:v>1675</c:v>
                </c:pt>
                <c:pt idx="25">
                  <c:v>4506</c:v>
                </c:pt>
                <c:pt idx="26">
                  <c:v>9218</c:v>
                </c:pt>
                <c:pt idx="27">
                  <c:v>1556</c:v>
                </c:pt>
                <c:pt idx="28">
                  <c:v>2910</c:v>
                </c:pt>
                <c:pt idx="29">
                  <c:v>18464</c:v>
                </c:pt>
                <c:pt idx="30">
                  <c:v>1335</c:v>
                </c:pt>
                <c:pt idx="31">
                  <c:v>1004</c:v>
                </c:pt>
                <c:pt idx="32">
                  <c:v>1111</c:v>
                </c:pt>
                <c:pt idx="33">
                  <c:v>6344</c:v>
                </c:pt>
                <c:pt idx="34">
                  <c:v>3572</c:v>
                </c:pt>
                <c:pt idx="35">
                  <c:v>3910</c:v>
                </c:pt>
                <c:pt idx="36">
                  <c:v>10000</c:v>
                </c:pt>
                <c:pt idx="37">
                  <c:v>6627</c:v>
                </c:pt>
                <c:pt idx="38">
                  <c:v>4636</c:v>
                </c:pt>
                <c:pt idx="39">
                  <c:v>20237</c:v>
                </c:pt>
                <c:pt idx="40">
                  <c:v>12912</c:v>
                </c:pt>
                <c:pt idx="41">
                  <c:v>2819</c:v>
                </c:pt>
                <c:pt idx="42">
                  <c:v>9921</c:v>
                </c:pt>
                <c:pt idx="43">
                  <c:v>8046</c:v>
                </c:pt>
                <c:pt idx="44">
                  <c:v>11166</c:v>
                </c:pt>
                <c:pt idx="45">
                  <c:v>7842</c:v>
                </c:pt>
                <c:pt idx="46">
                  <c:v>13840</c:v>
                </c:pt>
                <c:pt idx="47">
                  <c:v>1329</c:v>
                </c:pt>
                <c:pt idx="48">
                  <c:v>6847</c:v>
                </c:pt>
                <c:pt idx="49">
                  <c:v>5367</c:v>
                </c:pt>
                <c:pt idx="50">
                  <c:v>2841</c:v>
                </c:pt>
                <c:pt idx="51">
                  <c:v>0</c:v>
                </c:pt>
                <c:pt idx="52">
                  <c:v>0</c:v>
                </c:pt>
                <c:pt idx="53">
                  <c:v>7</c:v>
                </c:pt>
                <c:pt idx="54">
                  <c:v>6344</c:v>
                </c:pt>
                <c:pt idx="55">
                  <c:v>5316</c:v>
                </c:pt>
                <c:pt idx="56">
                  <c:v>4979</c:v>
                </c:pt>
                <c:pt idx="57">
                  <c:v>6556</c:v>
                </c:pt>
                <c:pt idx="58">
                  <c:v>5430</c:v>
                </c:pt>
                <c:pt idx="59">
                  <c:v>0</c:v>
                </c:pt>
                <c:pt idx="60">
                  <c:v>4317</c:v>
                </c:pt>
                <c:pt idx="61">
                  <c:v>5662</c:v>
                </c:pt>
                <c:pt idx="62">
                  <c:v>3198</c:v>
                </c:pt>
                <c:pt idx="63">
                  <c:v>2352</c:v>
                </c:pt>
                <c:pt idx="64">
                  <c:v>2234</c:v>
                </c:pt>
                <c:pt idx="65">
                  <c:v>1259</c:v>
                </c:pt>
                <c:pt idx="66">
                  <c:v>768</c:v>
                </c:pt>
                <c:pt idx="67">
                  <c:v>519</c:v>
                </c:pt>
                <c:pt idx="68">
                  <c:v>2523</c:v>
                </c:pt>
                <c:pt idx="69">
                  <c:v>2105</c:v>
                </c:pt>
                <c:pt idx="70">
                  <c:v>1209</c:v>
                </c:pt>
                <c:pt idx="71">
                  <c:v>24</c:v>
                </c:pt>
                <c:pt idx="72">
                  <c:v>13603</c:v>
                </c:pt>
                <c:pt idx="73">
                  <c:v>5477</c:v>
                </c:pt>
                <c:pt idx="74">
                  <c:v>11144</c:v>
                </c:pt>
                <c:pt idx="75">
                  <c:v>15313</c:v>
                </c:pt>
                <c:pt idx="76">
                  <c:v>10805</c:v>
                </c:pt>
                <c:pt idx="77">
                  <c:v>15392</c:v>
                </c:pt>
                <c:pt idx="78">
                  <c:v>18247</c:v>
                </c:pt>
                <c:pt idx="79">
                  <c:v>13023</c:v>
                </c:pt>
                <c:pt idx="80">
                  <c:v>16267</c:v>
                </c:pt>
                <c:pt idx="81">
                  <c:v>10005</c:v>
                </c:pt>
                <c:pt idx="82">
                  <c:v>10106</c:v>
                </c:pt>
                <c:pt idx="83">
                  <c:v>6717</c:v>
                </c:pt>
                <c:pt idx="84">
                  <c:v>2605</c:v>
                </c:pt>
                <c:pt idx="85">
                  <c:v>1229</c:v>
                </c:pt>
                <c:pt idx="86">
                  <c:v>2308</c:v>
                </c:pt>
                <c:pt idx="87">
                  <c:v>6679</c:v>
                </c:pt>
                <c:pt idx="88">
                  <c:v>5645</c:v>
                </c:pt>
                <c:pt idx="89">
                  <c:v>3180</c:v>
                </c:pt>
                <c:pt idx="90">
                  <c:v>2767</c:v>
                </c:pt>
                <c:pt idx="91">
                  <c:v>3762</c:v>
                </c:pt>
                <c:pt idx="92">
                  <c:v>3098</c:v>
                </c:pt>
                <c:pt idx="93">
                  <c:v>5142</c:v>
                </c:pt>
                <c:pt idx="94">
                  <c:v>3279</c:v>
                </c:pt>
                <c:pt idx="95">
                  <c:v>1019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4931</c:v>
                </c:pt>
                <c:pt idx="101">
                  <c:v>6999</c:v>
                </c:pt>
                <c:pt idx="102">
                  <c:v>1846</c:v>
                </c:pt>
                <c:pt idx="103">
                  <c:v>3417</c:v>
                </c:pt>
                <c:pt idx="104">
                  <c:v>4863</c:v>
                </c:pt>
                <c:pt idx="105">
                  <c:v>2277</c:v>
                </c:pt>
                <c:pt idx="106">
                  <c:v>11230</c:v>
                </c:pt>
                <c:pt idx="107">
                  <c:v>2098</c:v>
                </c:pt>
                <c:pt idx="108">
                  <c:v>10272</c:v>
                </c:pt>
                <c:pt idx="109">
                  <c:v>10533</c:v>
                </c:pt>
                <c:pt idx="110">
                  <c:v>6760</c:v>
                </c:pt>
                <c:pt idx="111">
                  <c:v>8328</c:v>
                </c:pt>
                <c:pt idx="112">
                  <c:v>15459</c:v>
                </c:pt>
                <c:pt idx="113">
                  <c:v>7485</c:v>
                </c:pt>
                <c:pt idx="114">
                  <c:v>10254</c:v>
                </c:pt>
                <c:pt idx="115">
                  <c:v>10114</c:v>
                </c:pt>
                <c:pt idx="116">
                  <c:v>11107</c:v>
                </c:pt>
                <c:pt idx="117">
                  <c:v>10320</c:v>
                </c:pt>
                <c:pt idx="118">
                  <c:v>10209</c:v>
                </c:pt>
                <c:pt idx="119">
                  <c:v>16081</c:v>
                </c:pt>
                <c:pt idx="120">
                  <c:v>10078</c:v>
                </c:pt>
                <c:pt idx="121">
                  <c:v>10001</c:v>
                </c:pt>
                <c:pt idx="122">
                  <c:v>0</c:v>
                </c:pt>
                <c:pt idx="123">
                  <c:v>890</c:v>
                </c:pt>
                <c:pt idx="124">
                  <c:v>2214</c:v>
                </c:pt>
                <c:pt idx="125">
                  <c:v>7640</c:v>
                </c:pt>
                <c:pt idx="126">
                  <c:v>9713</c:v>
                </c:pt>
                <c:pt idx="127">
                  <c:v>8432</c:v>
                </c:pt>
                <c:pt idx="128">
                  <c:v>7350</c:v>
                </c:pt>
                <c:pt idx="129">
                  <c:v>9353</c:v>
                </c:pt>
                <c:pt idx="130">
                  <c:v>7157</c:v>
                </c:pt>
                <c:pt idx="131">
                  <c:v>14103</c:v>
                </c:pt>
                <c:pt idx="132">
                  <c:v>5290</c:v>
                </c:pt>
                <c:pt idx="133">
                  <c:v>7497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4126</c:v>
                </c:pt>
                <c:pt idx="140">
                  <c:v>0</c:v>
                </c:pt>
                <c:pt idx="141">
                  <c:v>0</c:v>
                </c:pt>
                <c:pt idx="142">
                  <c:v>2063</c:v>
                </c:pt>
                <c:pt idx="143">
                  <c:v>5785</c:v>
                </c:pt>
                <c:pt idx="144">
                  <c:v>7625</c:v>
                </c:pt>
                <c:pt idx="145">
                  <c:v>4706</c:v>
                </c:pt>
                <c:pt idx="146">
                  <c:v>5861</c:v>
                </c:pt>
                <c:pt idx="147">
                  <c:v>4460</c:v>
                </c:pt>
                <c:pt idx="148">
                  <c:v>6406</c:v>
                </c:pt>
                <c:pt idx="149">
                  <c:v>7392</c:v>
                </c:pt>
                <c:pt idx="150">
                  <c:v>5551</c:v>
                </c:pt>
                <c:pt idx="151">
                  <c:v>8827</c:v>
                </c:pt>
                <c:pt idx="152">
                  <c:v>4662</c:v>
                </c:pt>
                <c:pt idx="153">
                  <c:v>4499</c:v>
                </c:pt>
                <c:pt idx="154">
                  <c:v>7618</c:v>
                </c:pt>
                <c:pt idx="155">
                  <c:v>11508</c:v>
                </c:pt>
                <c:pt idx="156">
                  <c:v>11943</c:v>
                </c:pt>
                <c:pt idx="157">
                  <c:v>12303</c:v>
                </c:pt>
                <c:pt idx="158">
                  <c:v>15425</c:v>
                </c:pt>
                <c:pt idx="159">
                  <c:v>8422</c:v>
                </c:pt>
                <c:pt idx="160">
                  <c:v>10226</c:v>
                </c:pt>
                <c:pt idx="161">
                  <c:v>14583</c:v>
                </c:pt>
                <c:pt idx="162">
                  <c:v>3573</c:v>
                </c:pt>
                <c:pt idx="163">
                  <c:v>3108</c:v>
                </c:pt>
                <c:pt idx="164">
                  <c:v>759</c:v>
                </c:pt>
                <c:pt idx="165">
                  <c:v>5543</c:v>
                </c:pt>
                <c:pt idx="166">
                  <c:v>3226</c:v>
                </c:pt>
                <c:pt idx="167">
                  <c:v>3023</c:v>
                </c:pt>
                <c:pt idx="168">
                  <c:v>5906</c:v>
                </c:pt>
                <c:pt idx="169">
                  <c:v>12483</c:v>
                </c:pt>
                <c:pt idx="170">
                  <c:v>8940</c:v>
                </c:pt>
                <c:pt idx="171">
                  <c:v>368</c:v>
                </c:pt>
                <c:pt idx="172">
                  <c:v>5702</c:v>
                </c:pt>
                <c:pt idx="173">
                  <c:v>10330</c:v>
                </c:pt>
                <c:pt idx="174">
                  <c:v>8778</c:v>
                </c:pt>
                <c:pt idx="175">
                  <c:v>6662</c:v>
                </c:pt>
                <c:pt idx="176">
                  <c:v>6309</c:v>
                </c:pt>
                <c:pt idx="177">
                  <c:v>1951</c:v>
                </c:pt>
                <c:pt idx="178">
                  <c:v>5563</c:v>
                </c:pt>
                <c:pt idx="179">
                  <c:v>4370</c:v>
                </c:pt>
                <c:pt idx="180">
                  <c:v>7144</c:v>
                </c:pt>
                <c:pt idx="181">
                  <c:v>2106</c:v>
                </c:pt>
                <c:pt idx="182">
                  <c:v>4152</c:v>
                </c:pt>
                <c:pt idx="183">
                  <c:v>5400</c:v>
                </c:pt>
                <c:pt idx="184">
                  <c:v>7428</c:v>
                </c:pt>
                <c:pt idx="185">
                  <c:v>5351</c:v>
                </c:pt>
                <c:pt idx="186">
                  <c:v>4299</c:v>
                </c:pt>
                <c:pt idx="187">
                  <c:v>6107</c:v>
                </c:pt>
                <c:pt idx="188">
                  <c:v>6429</c:v>
                </c:pt>
                <c:pt idx="189">
                  <c:v>6880</c:v>
                </c:pt>
                <c:pt idx="190">
                  <c:v>7476</c:v>
                </c:pt>
                <c:pt idx="191">
                  <c:v>6581</c:v>
                </c:pt>
                <c:pt idx="192">
                  <c:v>10480</c:v>
                </c:pt>
                <c:pt idx="193">
                  <c:v>7734</c:v>
                </c:pt>
                <c:pt idx="194">
                  <c:v>5129</c:v>
                </c:pt>
                <c:pt idx="195">
                  <c:v>2993</c:v>
                </c:pt>
                <c:pt idx="196">
                  <c:v>8</c:v>
                </c:pt>
                <c:pt idx="197">
                  <c:v>0</c:v>
                </c:pt>
                <c:pt idx="198">
                  <c:v>0</c:v>
                </c:pt>
                <c:pt idx="199">
                  <c:v>8433</c:v>
                </c:pt>
                <c:pt idx="200">
                  <c:v>0</c:v>
                </c:pt>
                <c:pt idx="201">
                  <c:v>2139</c:v>
                </c:pt>
                <c:pt idx="202">
                  <c:v>0</c:v>
                </c:pt>
                <c:pt idx="203">
                  <c:v>949</c:v>
                </c:pt>
                <c:pt idx="204">
                  <c:v>0</c:v>
                </c:pt>
                <c:pt idx="205">
                  <c:v>44</c:v>
                </c:pt>
                <c:pt idx="206">
                  <c:v>2660</c:v>
                </c:pt>
                <c:pt idx="207">
                  <c:v>5561</c:v>
                </c:pt>
                <c:pt idx="208">
                  <c:v>7239</c:v>
                </c:pt>
                <c:pt idx="209">
                  <c:v>7</c:v>
                </c:pt>
                <c:pt idx="210">
                  <c:v>0</c:v>
                </c:pt>
                <c:pt idx="211">
                  <c:v>0</c:v>
                </c:pt>
                <c:pt idx="212">
                  <c:v>2275</c:v>
                </c:pt>
                <c:pt idx="213">
                  <c:v>8</c:v>
                </c:pt>
                <c:pt idx="214">
                  <c:v>5137</c:v>
                </c:pt>
                <c:pt idx="215">
                  <c:v>5419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18</c:v>
                </c:pt>
                <c:pt idx="223">
                  <c:v>4</c:v>
                </c:pt>
                <c:pt idx="224">
                  <c:v>8426</c:v>
                </c:pt>
                <c:pt idx="225">
                  <c:v>1650</c:v>
                </c:pt>
                <c:pt idx="226">
                  <c:v>3434</c:v>
                </c:pt>
                <c:pt idx="227">
                  <c:v>6801</c:v>
                </c:pt>
                <c:pt idx="228">
                  <c:v>187</c:v>
                </c:pt>
                <c:pt idx="229">
                  <c:v>5643</c:v>
                </c:pt>
                <c:pt idx="230">
                  <c:v>9043</c:v>
                </c:pt>
                <c:pt idx="231">
                  <c:v>8144</c:v>
                </c:pt>
                <c:pt idx="232">
                  <c:v>9343</c:v>
                </c:pt>
                <c:pt idx="233">
                  <c:v>8405</c:v>
                </c:pt>
                <c:pt idx="234">
                  <c:v>8223</c:v>
                </c:pt>
                <c:pt idx="235">
                  <c:v>10067</c:v>
                </c:pt>
                <c:pt idx="236">
                  <c:v>8359</c:v>
                </c:pt>
                <c:pt idx="237">
                  <c:v>10946</c:v>
                </c:pt>
                <c:pt idx="238">
                  <c:v>9130</c:v>
                </c:pt>
                <c:pt idx="239">
                  <c:v>6544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2303</c:v>
                </c:pt>
                <c:pt idx="250">
                  <c:v>2600</c:v>
                </c:pt>
                <c:pt idx="251">
                  <c:v>4804</c:v>
                </c:pt>
                <c:pt idx="252">
                  <c:v>3271</c:v>
                </c:pt>
                <c:pt idx="253">
                  <c:v>5406</c:v>
                </c:pt>
                <c:pt idx="254">
                  <c:v>3146</c:v>
                </c:pt>
                <c:pt idx="255">
                  <c:v>2422</c:v>
                </c:pt>
                <c:pt idx="256">
                  <c:v>4239</c:v>
                </c:pt>
                <c:pt idx="257">
                  <c:v>6911</c:v>
                </c:pt>
                <c:pt idx="258">
                  <c:v>6667</c:v>
                </c:pt>
                <c:pt idx="259">
                  <c:v>5543</c:v>
                </c:pt>
                <c:pt idx="260">
                  <c:v>4195</c:v>
                </c:pt>
                <c:pt idx="261">
                  <c:v>6625</c:v>
                </c:pt>
                <c:pt idx="262">
                  <c:v>5986</c:v>
                </c:pt>
                <c:pt idx="263">
                  <c:v>278</c:v>
                </c:pt>
                <c:pt idx="264">
                  <c:v>5336</c:v>
                </c:pt>
                <c:pt idx="265">
                  <c:v>3183</c:v>
                </c:pt>
                <c:pt idx="266">
                  <c:v>6176</c:v>
                </c:pt>
                <c:pt idx="267">
                  <c:v>8205</c:v>
                </c:pt>
                <c:pt idx="268">
                  <c:v>6799</c:v>
                </c:pt>
                <c:pt idx="269">
                  <c:v>5668</c:v>
                </c:pt>
                <c:pt idx="270">
                  <c:v>7998</c:v>
                </c:pt>
                <c:pt idx="271">
                  <c:v>4195</c:v>
                </c:pt>
                <c:pt idx="272">
                  <c:v>5512</c:v>
                </c:pt>
                <c:pt idx="273">
                  <c:v>6263</c:v>
                </c:pt>
                <c:pt idx="274">
                  <c:v>8828</c:v>
                </c:pt>
                <c:pt idx="275">
                  <c:v>1260</c:v>
                </c:pt>
                <c:pt idx="276">
                  <c:v>6506</c:v>
                </c:pt>
                <c:pt idx="277">
                  <c:v>7583</c:v>
                </c:pt>
                <c:pt idx="278">
                  <c:v>6963</c:v>
                </c:pt>
                <c:pt idx="279">
                  <c:v>7165</c:v>
                </c:pt>
                <c:pt idx="280">
                  <c:v>10328</c:v>
                </c:pt>
                <c:pt idx="281">
                  <c:v>12116</c:v>
                </c:pt>
                <c:pt idx="282">
                  <c:v>7810</c:v>
                </c:pt>
                <c:pt idx="283">
                  <c:v>6670</c:v>
                </c:pt>
                <c:pt idx="284">
                  <c:v>7605</c:v>
                </c:pt>
                <c:pt idx="285">
                  <c:v>6585</c:v>
                </c:pt>
                <c:pt idx="286">
                  <c:v>8184</c:v>
                </c:pt>
                <c:pt idx="287">
                  <c:v>14002</c:v>
                </c:pt>
                <c:pt idx="288">
                  <c:v>11135</c:v>
                </c:pt>
                <c:pt idx="289">
                  <c:v>6499</c:v>
                </c:pt>
                <c:pt idx="290">
                  <c:v>0</c:v>
                </c:pt>
                <c:pt idx="291">
                  <c:v>12409</c:v>
                </c:pt>
                <c:pt idx="292">
                  <c:v>2937</c:v>
                </c:pt>
                <c:pt idx="293">
                  <c:v>1515</c:v>
                </c:pt>
                <c:pt idx="294">
                  <c:v>8921</c:v>
                </c:pt>
                <c:pt idx="295">
                  <c:v>11306</c:v>
                </c:pt>
                <c:pt idx="296">
                  <c:v>12252</c:v>
                </c:pt>
                <c:pt idx="297">
                  <c:v>15444</c:v>
                </c:pt>
                <c:pt idx="298">
                  <c:v>9938</c:v>
                </c:pt>
                <c:pt idx="299">
                  <c:v>4599</c:v>
                </c:pt>
                <c:pt idx="300">
                  <c:v>5594</c:v>
                </c:pt>
                <c:pt idx="301">
                  <c:v>11906</c:v>
                </c:pt>
                <c:pt idx="302">
                  <c:v>3436</c:v>
                </c:pt>
                <c:pt idx="303">
                  <c:v>10461</c:v>
                </c:pt>
                <c:pt idx="304">
                  <c:v>14873</c:v>
                </c:pt>
                <c:pt idx="305">
                  <c:v>9917</c:v>
                </c:pt>
                <c:pt idx="306">
                  <c:v>7401</c:v>
                </c:pt>
                <c:pt idx="307">
                  <c:v>8964</c:v>
                </c:pt>
                <c:pt idx="308">
                  <c:v>11080</c:v>
                </c:pt>
                <c:pt idx="309">
                  <c:v>4499</c:v>
                </c:pt>
                <c:pt idx="310">
                  <c:v>4363</c:v>
                </c:pt>
                <c:pt idx="311">
                  <c:v>10494</c:v>
                </c:pt>
                <c:pt idx="312">
                  <c:v>9776</c:v>
                </c:pt>
                <c:pt idx="313">
                  <c:v>2862</c:v>
                </c:pt>
                <c:pt idx="314">
                  <c:v>7444</c:v>
                </c:pt>
                <c:pt idx="315">
                  <c:v>19658</c:v>
                </c:pt>
                <c:pt idx="316">
                  <c:v>0</c:v>
                </c:pt>
                <c:pt idx="317">
                  <c:v>8468</c:v>
                </c:pt>
                <c:pt idx="318">
                  <c:v>9910</c:v>
                </c:pt>
                <c:pt idx="319">
                  <c:v>12409</c:v>
                </c:pt>
                <c:pt idx="320">
                  <c:v>4853</c:v>
                </c:pt>
                <c:pt idx="321">
                  <c:v>8955</c:v>
                </c:pt>
                <c:pt idx="322">
                  <c:v>10789</c:v>
                </c:pt>
                <c:pt idx="323">
                  <c:v>0</c:v>
                </c:pt>
                <c:pt idx="324">
                  <c:v>6633</c:v>
                </c:pt>
                <c:pt idx="325">
                  <c:v>9548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2101</c:v>
                </c:pt>
                <c:pt idx="336">
                  <c:v>0</c:v>
                </c:pt>
                <c:pt idx="337">
                  <c:v>0</c:v>
                </c:pt>
                <c:pt idx="338">
                  <c:v>9766</c:v>
                </c:pt>
                <c:pt idx="339">
                  <c:v>165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7225</c:v>
                </c:pt>
                <c:pt idx="344">
                  <c:v>1988</c:v>
                </c:pt>
                <c:pt idx="345">
                  <c:v>1577</c:v>
                </c:pt>
                <c:pt idx="346">
                  <c:v>0</c:v>
                </c:pt>
                <c:pt idx="347">
                  <c:v>9348</c:v>
                </c:pt>
                <c:pt idx="348">
                  <c:v>11761</c:v>
                </c:pt>
                <c:pt idx="349">
                  <c:v>13987</c:v>
                </c:pt>
                <c:pt idx="350">
                  <c:v>4131</c:v>
                </c:pt>
                <c:pt idx="351">
                  <c:v>14</c:v>
                </c:pt>
                <c:pt idx="352">
                  <c:v>15491</c:v>
                </c:pt>
                <c:pt idx="353">
                  <c:v>14097</c:v>
                </c:pt>
                <c:pt idx="354">
                  <c:v>10467</c:v>
                </c:pt>
                <c:pt idx="355">
                  <c:v>12437</c:v>
                </c:pt>
                <c:pt idx="356">
                  <c:v>12307</c:v>
                </c:pt>
                <c:pt idx="357">
                  <c:v>18952</c:v>
                </c:pt>
                <c:pt idx="358">
                  <c:v>12010</c:v>
                </c:pt>
                <c:pt idx="359">
                  <c:v>12480</c:v>
                </c:pt>
                <c:pt idx="360">
                  <c:v>13417</c:v>
                </c:pt>
                <c:pt idx="361">
                  <c:v>14400</c:v>
                </c:pt>
                <c:pt idx="362">
                  <c:v>12495</c:v>
                </c:pt>
                <c:pt idx="363">
                  <c:v>10148</c:v>
                </c:pt>
                <c:pt idx="364">
                  <c:v>12362</c:v>
                </c:pt>
                <c:pt idx="365">
                  <c:v>5893</c:v>
                </c:pt>
                <c:pt idx="366">
                  <c:v>11680</c:v>
                </c:pt>
                <c:pt idx="367">
                  <c:v>10976</c:v>
                </c:pt>
                <c:pt idx="368">
                  <c:v>16806</c:v>
                </c:pt>
                <c:pt idx="369">
                  <c:v>15266</c:v>
                </c:pt>
                <c:pt idx="370">
                  <c:v>12084</c:v>
                </c:pt>
                <c:pt idx="371">
                  <c:v>13513</c:v>
                </c:pt>
                <c:pt idx="372">
                  <c:v>14100</c:v>
                </c:pt>
                <c:pt idx="373">
                  <c:v>12627</c:v>
                </c:pt>
                <c:pt idx="374">
                  <c:v>10345</c:v>
                </c:pt>
                <c:pt idx="375">
                  <c:v>10146</c:v>
                </c:pt>
                <c:pt idx="376">
                  <c:v>12168</c:v>
                </c:pt>
                <c:pt idx="377">
                  <c:v>7413</c:v>
                </c:pt>
                <c:pt idx="378">
                  <c:v>11463</c:v>
                </c:pt>
                <c:pt idx="379">
                  <c:v>87</c:v>
                </c:pt>
                <c:pt idx="380">
                  <c:v>1949</c:v>
                </c:pt>
                <c:pt idx="381">
                  <c:v>6101</c:v>
                </c:pt>
                <c:pt idx="382">
                  <c:v>7478</c:v>
                </c:pt>
                <c:pt idx="383">
                  <c:v>7352</c:v>
                </c:pt>
                <c:pt idx="384">
                  <c:v>14604</c:v>
                </c:pt>
                <c:pt idx="385">
                  <c:v>9634</c:v>
                </c:pt>
                <c:pt idx="386">
                  <c:v>7338</c:v>
                </c:pt>
                <c:pt idx="387">
                  <c:v>569</c:v>
                </c:pt>
                <c:pt idx="388">
                  <c:v>6242</c:v>
                </c:pt>
                <c:pt idx="389">
                  <c:v>430</c:v>
                </c:pt>
                <c:pt idx="390">
                  <c:v>20188</c:v>
                </c:pt>
                <c:pt idx="391">
                  <c:v>25701</c:v>
                </c:pt>
                <c:pt idx="392">
                  <c:v>17395</c:v>
                </c:pt>
                <c:pt idx="393">
                  <c:v>17167</c:v>
                </c:pt>
                <c:pt idx="394">
                  <c:v>16435</c:v>
                </c:pt>
                <c:pt idx="395">
                  <c:v>17078</c:v>
                </c:pt>
                <c:pt idx="396">
                  <c:v>11693</c:v>
                </c:pt>
                <c:pt idx="397">
                  <c:v>11159</c:v>
                </c:pt>
                <c:pt idx="398">
                  <c:v>10118</c:v>
                </c:pt>
                <c:pt idx="399">
                  <c:v>16064</c:v>
                </c:pt>
                <c:pt idx="400">
                  <c:v>290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1931</c:v>
                </c:pt>
                <c:pt idx="407">
                  <c:v>5181</c:v>
                </c:pt>
                <c:pt idx="408">
                  <c:v>12026</c:v>
                </c:pt>
                <c:pt idx="409">
                  <c:v>5360</c:v>
                </c:pt>
                <c:pt idx="410">
                  <c:v>2545</c:v>
                </c:pt>
                <c:pt idx="411">
                  <c:v>1636</c:v>
                </c:pt>
                <c:pt idx="412">
                  <c:v>0</c:v>
                </c:pt>
                <c:pt idx="413">
                  <c:v>14179</c:v>
                </c:pt>
                <c:pt idx="414">
                  <c:v>3358</c:v>
                </c:pt>
                <c:pt idx="415">
                  <c:v>9152</c:v>
                </c:pt>
                <c:pt idx="416">
                  <c:v>13935</c:v>
                </c:pt>
                <c:pt idx="417">
                  <c:v>12846</c:v>
                </c:pt>
                <c:pt idx="418">
                  <c:v>9124</c:v>
                </c:pt>
                <c:pt idx="419">
                  <c:v>9725</c:v>
                </c:pt>
                <c:pt idx="420">
                  <c:v>8350</c:v>
                </c:pt>
                <c:pt idx="421">
                  <c:v>2240</c:v>
                </c:pt>
                <c:pt idx="422">
                  <c:v>2631</c:v>
                </c:pt>
                <c:pt idx="423">
                  <c:v>8837</c:v>
                </c:pt>
                <c:pt idx="424">
                  <c:v>3246</c:v>
                </c:pt>
                <c:pt idx="425">
                  <c:v>2174</c:v>
                </c:pt>
                <c:pt idx="426">
                  <c:v>3494</c:v>
                </c:pt>
                <c:pt idx="427">
                  <c:v>2380</c:v>
                </c:pt>
                <c:pt idx="428">
                  <c:v>3159</c:v>
                </c:pt>
                <c:pt idx="429">
                  <c:v>6835</c:v>
                </c:pt>
                <c:pt idx="430">
                  <c:v>2098</c:v>
                </c:pt>
                <c:pt idx="431">
                  <c:v>2816</c:v>
                </c:pt>
                <c:pt idx="432">
                  <c:v>1408</c:v>
                </c:pt>
                <c:pt idx="433">
                  <c:v>4592</c:v>
                </c:pt>
                <c:pt idx="434">
                  <c:v>8452</c:v>
                </c:pt>
                <c:pt idx="435">
                  <c:v>7238</c:v>
                </c:pt>
                <c:pt idx="436">
                  <c:v>3821</c:v>
                </c:pt>
                <c:pt idx="437">
                  <c:v>2332</c:v>
                </c:pt>
                <c:pt idx="438">
                  <c:v>2121</c:v>
                </c:pt>
                <c:pt idx="439">
                  <c:v>1291</c:v>
                </c:pt>
                <c:pt idx="440">
                  <c:v>1467</c:v>
                </c:pt>
                <c:pt idx="441">
                  <c:v>1022</c:v>
                </c:pt>
                <c:pt idx="442">
                  <c:v>4605</c:v>
                </c:pt>
                <c:pt idx="443">
                  <c:v>178</c:v>
                </c:pt>
                <c:pt idx="444">
                  <c:v>20</c:v>
                </c:pt>
                <c:pt idx="445">
                  <c:v>18700</c:v>
                </c:pt>
                <c:pt idx="446">
                  <c:v>27572</c:v>
                </c:pt>
                <c:pt idx="447">
                  <c:v>15260</c:v>
                </c:pt>
                <c:pt idx="448">
                  <c:v>20779</c:v>
                </c:pt>
                <c:pt idx="449">
                  <c:v>10695</c:v>
                </c:pt>
                <c:pt idx="450">
                  <c:v>24136</c:v>
                </c:pt>
                <c:pt idx="451">
                  <c:v>10910</c:v>
                </c:pt>
                <c:pt idx="452">
                  <c:v>23014</c:v>
                </c:pt>
                <c:pt idx="453">
                  <c:v>16470</c:v>
                </c:pt>
                <c:pt idx="454">
                  <c:v>28497</c:v>
                </c:pt>
                <c:pt idx="455">
                  <c:v>10622</c:v>
                </c:pt>
                <c:pt idx="456">
                  <c:v>2350</c:v>
                </c:pt>
              </c:numCache>
            </c:numRef>
          </c:xVal>
          <c:yVal>
            <c:numRef>
              <c:f>Case_Study!$F$2:$F$458</c:f>
              <c:numCache>
                <c:formatCode>0</c:formatCode>
                <c:ptCount val="457"/>
                <c:pt idx="0">
                  <c:v>1819</c:v>
                </c:pt>
                <c:pt idx="1">
                  <c:v>2154</c:v>
                </c:pt>
                <c:pt idx="2">
                  <c:v>1944</c:v>
                </c:pt>
                <c:pt idx="3">
                  <c:v>1932</c:v>
                </c:pt>
                <c:pt idx="4">
                  <c:v>1886</c:v>
                </c:pt>
                <c:pt idx="5">
                  <c:v>1820</c:v>
                </c:pt>
                <c:pt idx="6">
                  <c:v>1889</c:v>
                </c:pt>
                <c:pt idx="7">
                  <c:v>1868</c:v>
                </c:pt>
                <c:pt idx="8">
                  <c:v>1843</c:v>
                </c:pt>
                <c:pt idx="9">
                  <c:v>1850</c:v>
                </c:pt>
                <c:pt idx="10">
                  <c:v>2030</c:v>
                </c:pt>
                <c:pt idx="11">
                  <c:v>2083</c:v>
                </c:pt>
                <c:pt idx="12">
                  <c:v>1861</c:v>
                </c:pt>
                <c:pt idx="13">
                  <c:v>1755</c:v>
                </c:pt>
                <c:pt idx="14">
                  <c:v>1895</c:v>
                </c:pt>
                <c:pt idx="15">
                  <c:v>1883</c:v>
                </c:pt>
                <c:pt idx="16">
                  <c:v>1755</c:v>
                </c:pt>
                <c:pt idx="17">
                  <c:v>1811</c:v>
                </c:pt>
                <c:pt idx="18">
                  <c:v>50</c:v>
                </c:pt>
                <c:pt idx="19">
                  <c:v>1373</c:v>
                </c:pt>
                <c:pt idx="20">
                  <c:v>1264</c:v>
                </c:pt>
                <c:pt idx="21">
                  <c:v>1350</c:v>
                </c:pt>
                <c:pt idx="22">
                  <c:v>1342</c:v>
                </c:pt>
                <c:pt idx="23">
                  <c:v>1300</c:v>
                </c:pt>
                <c:pt idx="24">
                  <c:v>1313</c:v>
                </c:pt>
                <c:pt idx="25">
                  <c:v>1498</c:v>
                </c:pt>
                <c:pt idx="26">
                  <c:v>1541</c:v>
                </c:pt>
                <c:pt idx="27">
                  <c:v>1327</c:v>
                </c:pt>
                <c:pt idx="28">
                  <c:v>1452</c:v>
                </c:pt>
                <c:pt idx="29">
                  <c:v>1574</c:v>
                </c:pt>
                <c:pt idx="30">
                  <c:v>1308</c:v>
                </c:pt>
                <c:pt idx="31">
                  <c:v>1276</c:v>
                </c:pt>
                <c:pt idx="32">
                  <c:v>1278</c:v>
                </c:pt>
                <c:pt idx="33">
                  <c:v>1409</c:v>
                </c:pt>
                <c:pt idx="34">
                  <c:v>1370</c:v>
                </c:pt>
                <c:pt idx="35">
                  <c:v>1555</c:v>
                </c:pt>
                <c:pt idx="36">
                  <c:v>1469</c:v>
                </c:pt>
                <c:pt idx="37">
                  <c:v>706</c:v>
                </c:pt>
                <c:pt idx="38">
                  <c:v>3323</c:v>
                </c:pt>
                <c:pt idx="39">
                  <c:v>4029</c:v>
                </c:pt>
                <c:pt idx="40">
                  <c:v>3436</c:v>
                </c:pt>
                <c:pt idx="41">
                  <c:v>2444</c:v>
                </c:pt>
                <c:pt idx="42">
                  <c:v>3098</c:v>
                </c:pt>
                <c:pt idx="43">
                  <c:v>2925</c:v>
                </c:pt>
                <c:pt idx="44">
                  <c:v>3202</c:v>
                </c:pt>
                <c:pt idx="45">
                  <c:v>2928</c:v>
                </c:pt>
                <c:pt idx="46">
                  <c:v>3290</c:v>
                </c:pt>
                <c:pt idx="47">
                  <c:v>489</c:v>
                </c:pt>
                <c:pt idx="48">
                  <c:v>1969</c:v>
                </c:pt>
                <c:pt idx="49">
                  <c:v>1889</c:v>
                </c:pt>
                <c:pt idx="50">
                  <c:v>1636</c:v>
                </c:pt>
                <c:pt idx="51">
                  <c:v>1347</c:v>
                </c:pt>
                <c:pt idx="52">
                  <c:v>1347</c:v>
                </c:pt>
                <c:pt idx="53">
                  <c:v>1349</c:v>
                </c:pt>
                <c:pt idx="54">
                  <c:v>1965</c:v>
                </c:pt>
                <c:pt idx="55">
                  <c:v>1824</c:v>
                </c:pt>
                <c:pt idx="56">
                  <c:v>1807</c:v>
                </c:pt>
                <c:pt idx="57">
                  <c:v>1971</c:v>
                </c:pt>
                <c:pt idx="58">
                  <c:v>1888</c:v>
                </c:pt>
                <c:pt idx="59">
                  <c:v>399</c:v>
                </c:pt>
                <c:pt idx="60">
                  <c:v>2590</c:v>
                </c:pt>
                <c:pt idx="61">
                  <c:v>2783</c:v>
                </c:pt>
                <c:pt idx="62">
                  <c:v>2449</c:v>
                </c:pt>
                <c:pt idx="63">
                  <c:v>2380</c:v>
                </c:pt>
                <c:pt idx="64">
                  <c:v>2344</c:v>
                </c:pt>
                <c:pt idx="65">
                  <c:v>2202</c:v>
                </c:pt>
                <c:pt idx="66">
                  <c:v>2130</c:v>
                </c:pt>
                <c:pt idx="67">
                  <c:v>2088</c:v>
                </c:pt>
                <c:pt idx="68">
                  <c:v>2443</c:v>
                </c:pt>
                <c:pt idx="69">
                  <c:v>2442</c:v>
                </c:pt>
                <c:pt idx="70">
                  <c:v>2255</c:v>
                </c:pt>
                <c:pt idx="71">
                  <c:v>942</c:v>
                </c:pt>
                <c:pt idx="72">
                  <c:v>2645</c:v>
                </c:pt>
                <c:pt idx="73">
                  <c:v>2040</c:v>
                </c:pt>
                <c:pt idx="74">
                  <c:v>2395</c:v>
                </c:pt>
                <c:pt idx="75">
                  <c:v>2581</c:v>
                </c:pt>
                <c:pt idx="76">
                  <c:v>2735</c:v>
                </c:pt>
                <c:pt idx="77">
                  <c:v>2733</c:v>
                </c:pt>
                <c:pt idx="78">
                  <c:v>3021</c:v>
                </c:pt>
                <c:pt idx="79">
                  <c:v>2577</c:v>
                </c:pt>
                <c:pt idx="80">
                  <c:v>2811</c:v>
                </c:pt>
                <c:pt idx="81">
                  <c:v>2458</c:v>
                </c:pt>
                <c:pt idx="82">
                  <c:v>2568</c:v>
                </c:pt>
                <c:pt idx="83">
                  <c:v>1140</c:v>
                </c:pt>
                <c:pt idx="84">
                  <c:v>1407</c:v>
                </c:pt>
                <c:pt idx="85">
                  <c:v>1237</c:v>
                </c:pt>
                <c:pt idx="86">
                  <c:v>1330</c:v>
                </c:pt>
                <c:pt idx="87">
                  <c:v>1583</c:v>
                </c:pt>
                <c:pt idx="88">
                  <c:v>1538</c:v>
                </c:pt>
                <c:pt idx="89">
                  <c:v>1421</c:v>
                </c:pt>
                <c:pt idx="90">
                  <c:v>1392</c:v>
                </c:pt>
                <c:pt idx="91">
                  <c:v>1425</c:v>
                </c:pt>
                <c:pt idx="92">
                  <c:v>1413</c:v>
                </c:pt>
                <c:pt idx="93">
                  <c:v>1515</c:v>
                </c:pt>
                <c:pt idx="94">
                  <c:v>1405</c:v>
                </c:pt>
                <c:pt idx="95">
                  <c:v>600</c:v>
                </c:pt>
                <c:pt idx="96">
                  <c:v>1324</c:v>
                </c:pt>
                <c:pt idx="97">
                  <c:v>1324</c:v>
                </c:pt>
                <c:pt idx="98">
                  <c:v>1324</c:v>
                </c:pt>
                <c:pt idx="99">
                  <c:v>1324</c:v>
                </c:pt>
                <c:pt idx="100">
                  <c:v>1708</c:v>
                </c:pt>
                <c:pt idx="101">
                  <c:v>1950</c:v>
                </c:pt>
                <c:pt idx="102">
                  <c:v>1508</c:v>
                </c:pt>
                <c:pt idx="103">
                  <c:v>1625</c:v>
                </c:pt>
                <c:pt idx="104">
                  <c:v>1772</c:v>
                </c:pt>
                <c:pt idx="105">
                  <c:v>1530</c:v>
                </c:pt>
                <c:pt idx="106">
                  <c:v>2206</c:v>
                </c:pt>
                <c:pt idx="107">
                  <c:v>790</c:v>
                </c:pt>
                <c:pt idx="108">
                  <c:v>2041</c:v>
                </c:pt>
                <c:pt idx="109">
                  <c:v>2187</c:v>
                </c:pt>
                <c:pt idx="110">
                  <c:v>1929</c:v>
                </c:pt>
                <c:pt idx="111">
                  <c:v>1935</c:v>
                </c:pt>
                <c:pt idx="112">
                  <c:v>2438</c:v>
                </c:pt>
                <c:pt idx="113">
                  <c:v>2035</c:v>
                </c:pt>
                <c:pt idx="114">
                  <c:v>2099</c:v>
                </c:pt>
                <c:pt idx="115">
                  <c:v>2096</c:v>
                </c:pt>
                <c:pt idx="116">
                  <c:v>2058</c:v>
                </c:pt>
                <c:pt idx="117">
                  <c:v>2338</c:v>
                </c:pt>
                <c:pt idx="118">
                  <c:v>2104</c:v>
                </c:pt>
                <c:pt idx="119">
                  <c:v>2488</c:v>
                </c:pt>
                <c:pt idx="120">
                  <c:v>2164</c:v>
                </c:pt>
                <c:pt idx="121">
                  <c:v>2009</c:v>
                </c:pt>
                <c:pt idx="122">
                  <c:v>399</c:v>
                </c:pt>
                <c:pt idx="123">
                  <c:v>1335</c:v>
                </c:pt>
                <c:pt idx="124">
                  <c:v>1559</c:v>
                </c:pt>
                <c:pt idx="125">
                  <c:v>1845</c:v>
                </c:pt>
                <c:pt idx="126">
                  <c:v>2046</c:v>
                </c:pt>
                <c:pt idx="127">
                  <c:v>1953</c:v>
                </c:pt>
                <c:pt idx="128">
                  <c:v>1910</c:v>
                </c:pt>
                <c:pt idx="129">
                  <c:v>2035</c:v>
                </c:pt>
                <c:pt idx="130">
                  <c:v>1944</c:v>
                </c:pt>
                <c:pt idx="131">
                  <c:v>2257</c:v>
                </c:pt>
                <c:pt idx="132">
                  <c:v>1724</c:v>
                </c:pt>
                <c:pt idx="133">
                  <c:v>1741</c:v>
                </c:pt>
                <c:pt idx="134">
                  <c:v>0</c:v>
                </c:pt>
                <c:pt idx="135">
                  <c:v>1920</c:v>
                </c:pt>
                <c:pt idx="136">
                  <c:v>1920</c:v>
                </c:pt>
                <c:pt idx="137">
                  <c:v>1920</c:v>
                </c:pt>
                <c:pt idx="138">
                  <c:v>4562</c:v>
                </c:pt>
                <c:pt idx="139">
                  <c:v>2881</c:v>
                </c:pt>
                <c:pt idx="140">
                  <c:v>1920</c:v>
                </c:pt>
                <c:pt idx="141">
                  <c:v>1920</c:v>
                </c:pt>
                <c:pt idx="142">
                  <c:v>1144</c:v>
                </c:pt>
                <c:pt idx="143">
                  <c:v>1852</c:v>
                </c:pt>
                <c:pt idx="144">
                  <c:v>2069</c:v>
                </c:pt>
                <c:pt idx="145">
                  <c:v>1816</c:v>
                </c:pt>
                <c:pt idx="146">
                  <c:v>1878</c:v>
                </c:pt>
                <c:pt idx="147">
                  <c:v>1787</c:v>
                </c:pt>
                <c:pt idx="148">
                  <c:v>2010</c:v>
                </c:pt>
                <c:pt idx="149">
                  <c:v>2038</c:v>
                </c:pt>
                <c:pt idx="150">
                  <c:v>1815</c:v>
                </c:pt>
                <c:pt idx="151">
                  <c:v>2062</c:v>
                </c:pt>
                <c:pt idx="152">
                  <c:v>1276</c:v>
                </c:pt>
                <c:pt idx="153">
                  <c:v>1288</c:v>
                </c:pt>
                <c:pt idx="154">
                  <c:v>1490</c:v>
                </c:pt>
                <c:pt idx="155">
                  <c:v>1630</c:v>
                </c:pt>
                <c:pt idx="156">
                  <c:v>1648</c:v>
                </c:pt>
                <c:pt idx="157">
                  <c:v>1649</c:v>
                </c:pt>
                <c:pt idx="158">
                  <c:v>1783</c:v>
                </c:pt>
                <c:pt idx="159">
                  <c:v>1431</c:v>
                </c:pt>
                <c:pt idx="160">
                  <c:v>1524</c:v>
                </c:pt>
                <c:pt idx="161">
                  <c:v>1697</c:v>
                </c:pt>
                <c:pt idx="162">
                  <c:v>1232</c:v>
                </c:pt>
                <c:pt idx="163">
                  <c:v>1223</c:v>
                </c:pt>
                <c:pt idx="164">
                  <c:v>182</c:v>
                </c:pt>
                <c:pt idx="165">
                  <c:v>2990</c:v>
                </c:pt>
                <c:pt idx="166">
                  <c:v>2480</c:v>
                </c:pt>
                <c:pt idx="167">
                  <c:v>2570</c:v>
                </c:pt>
                <c:pt idx="168">
                  <c:v>3016</c:v>
                </c:pt>
                <c:pt idx="169">
                  <c:v>3830</c:v>
                </c:pt>
                <c:pt idx="170">
                  <c:v>3706</c:v>
                </c:pt>
                <c:pt idx="171">
                  <c:v>2024</c:v>
                </c:pt>
                <c:pt idx="172">
                  <c:v>2980</c:v>
                </c:pt>
                <c:pt idx="173">
                  <c:v>3728</c:v>
                </c:pt>
                <c:pt idx="174">
                  <c:v>3348</c:v>
                </c:pt>
                <c:pt idx="175">
                  <c:v>3162</c:v>
                </c:pt>
                <c:pt idx="176">
                  <c:v>3140</c:v>
                </c:pt>
                <c:pt idx="177">
                  <c:v>1980</c:v>
                </c:pt>
                <c:pt idx="178">
                  <c:v>3681</c:v>
                </c:pt>
                <c:pt idx="179">
                  <c:v>3444</c:v>
                </c:pt>
                <c:pt idx="180">
                  <c:v>3510</c:v>
                </c:pt>
                <c:pt idx="181">
                  <c:v>4010</c:v>
                </c:pt>
                <c:pt idx="182">
                  <c:v>2976</c:v>
                </c:pt>
                <c:pt idx="183">
                  <c:v>3418</c:v>
                </c:pt>
                <c:pt idx="184">
                  <c:v>3439</c:v>
                </c:pt>
                <c:pt idx="185">
                  <c:v>3338</c:v>
                </c:pt>
                <c:pt idx="186">
                  <c:v>2892</c:v>
                </c:pt>
                <c:pt idx="187">
                  <c:v>3313</c:v>
                </c:pt>
                <c:pt idx="188">
                  <c:v>3118</c:v>
                </c:pt>
                <c:pt idx="189">
                  <c:v>2966</c:v>
                </c:pt>
                <c:pt idx="190">
                  <c:v>3253</c:v>
                </c:pt>
                <c:pt idx="191">
                  <c:v>3032</c:v>
                </c:pt>
                <c:pt idx="192">
                  <c:v>4034</c:v>
                </c:pt>
                <c:pt idx="193">
                  <c:v>3264</c:v>
                </c:pt>
                <c:pt idx="194">
                  <c:v>2817</c:v>
                </c:pt>
                <c:pt idx="195">
                  <c:v>2507</c:v>
                </c:pt>
                <c:pt idx="196">
                  <c:v>446</c:v>
                </c:pt>
                <c:pt idx="197">
                  <c:v>1777</c:v>
                </c:pt>
                <c:pt idx="198">
                  <c:v>1777</c:v>
                </c:pt>
                <c:pt idx="199">
                  <c:v>2453</c:v>
                </c:pt>
                <c:pt idx="200">
                  <c:v>1776</c:v>
                </c:pt>
                <c:pt idx="201">
                  <c:v>1935</c:v>
                </c:pt>
                <c:pt idx="202">
                  <c:v>1776</c:v>
                </c:pt>
                <c:pt idx="203">
                  <c:v>1870</c:v>
                </c:pt>
                <c:pt idx="204">
                  <c:v>1777</c:v>
                </c:pt>
                <c:pt idx="205">
                  <c:v>1782</c:v>
                </c:pt>
                <c:pt idx="206">
                  <c:v>1978</c:v>
                </c:pt>
                <c:pt idx="207">
                  <c:v>2296</c:v>
                </c:pt>
                <c:pt idx="208">
                  <c:v>2484</c:v>
                </c:pt>
                <c:pt idx="209">
                  <c:v>1787</c:v>
                </c:pt>
                <c:pt idx="210">
                  <c:v>1776</c:v>
                </c:pt>
                <c:pt idx="211">
                  <c:v>1776</c:v>
                </c:pt>
                <c:pt idx="212">
                  <c:v>2005</c:v>
                </c:pt>
                <c:pt idx="213">
                  <c:v>1778</c:v>
                </c:pt>
                <c:pt idx="214">
                  <c:v>2293</c:v>
                </c:pt>
                <c:pt idx="215">
                  <c:v>2259</c:v>
                </c:pt>
                <c:pt idx="216">
                  <c:v>1776</c:v>
                </c:pt>
                <c:pt idx="217">
                  <c:v>1776</c:v>
                </c:pt>
                <c:pt idx="218">
                  <c:v>1776</c:v>
                </c:pt>
                <c:pt idx="219">
                  <c:v>1776</c:v>
                </c:pt>
                <c:pt idx="220">
                  <c:v>1776</c:v>
                </c:pt>
                <c:pt idx="221">
                  <c:v>1776</c:v>
                </c:pt>
                <c:pt idx="222">
                  <c:v>1780</c:v>
                </c:pt>
                <c:pt idx="223">
                  <c:v>1778</c:v>
                </c:pt>
                <c:pt idx="224">
                  <c:v>2360</c:v>
                </c:pt>
                <c:pt idx="225">
                  <c:v>1952</c:v>
                </c:pt>
                <c:pt idx="226">
                  <c:v>2101</c:v>
                </c:pt>
                <c:pt idx="227">
                  <c:v>2393</c:v>
                </c:pt>
                <c:pt idx="228">
                  <c:v>538</c:v>
                </c:pt>
                <c:pt idx="229">
                  <c:v>1958</c:v>
                </c:pt>
                <c:pt idx="230">
                  <c:v>2141</c:v>
                </c:pt>
                <c:pt idx="231">
                  <c:v>2129</c:v>
                </c:pt>
                <c:pt idx="232">
                  <c:v>2216</c:v>
                </c:pt>
                <c:pt idx="233">
                  <c:v>2154</c:v>
                </c:pt>
                <c:pt idx="234">
                  <c:v>2178</c:v>
                </c:pt>
                <c:pt idx="235">
                  <c:v>2308</c:v>
                </c:pt>
                <c:pt idx="236">
                  <c:v>2201</c:v>
                </c:pt>
                <c:pt idx="237">
                  <c:v>2341</c:v>
                </c:pt>
                <c:pt idx="238">
                  <c:v>2236</c:v>
                </c:pt>
                <c:pt idx="239">
                  <c:v>2069</c:v>
                </c:pt>
                <c:pt idx="240">
                  <c:v>0</c:v>
                </c:pt>
                <c:pt idx="241">
                  <c:v>1878</c:v>
                </c:pt>
                <c:pt idx="242">
                  <c:v>1878</c:v>
                </c:pt>
                <c:pt idx="243">
                  <c:v>1878</c:v>
                </c:pt>
                <c:pt idx="244">
                  <c:v>1878</c:v>
                </c:pt>
                <c:pt idx="245">
                  <c:v>1878</c:v>
                </c:pt>
                <c:pt idx="246">
                  <c:v>1878</c:v>
                </c:pt>
                <c:pt idx="247">
                  <c:v>1878</c:v>
                </c:pt>
                <c:pt idx="248">
                  <c:v>1296</c:v>
                </c:pt>
                <c:pt idx="249">
                  <c:v>2010</c:v>
                </c:pt>
                <c:pt idx="250">
                  <c:v>2032</c:v>
                </c:pt>
                <c:pt idx="251">
                  <c:v>2227</c:v>
                </c:pt>
                <c:pt idx="252">
                  <c:v>2133</c:v>
                </c:pt>
                <c:pt idx="253">
                  <c:v>2317</c:v>
                </c:pt>
                <c:pt idx="254">
                  <c:v>2058</c:v>
                </c:pt>
                <c:pt idx="255">
                  <c:v>1935</c:v>
                </c:pt>
                <c:pt idx="256">
                  <c:v>2217</c:v>
                </c:pt>
                <c:pt idx="257">
                  <c:v>2374</c:v>
                </c:pt>
                <c:pt idx="258">
                  <c:v>2335</c:v>
                </c:pt>
                <c:pt idx="259">
                  <c:v>2303</c:v>
                </c:pt>
                <c:pt idx="260">
                  <c:v>2210</c:v>
                </c:pt>
                <c:pt idx="261">
                  <c:v>2424</c:v>
                </c:pt>
                <c:pt idx="262">
                  <c:v>2297</c:v>
                </c:pt>
                <c:pt idx="263">
                  <c:v>745</c:v>
                </c:pt>
                <c:pt idx="264">
                  <c:v>1902</c:v>
                </c:pt>
                <c:pt idx="265">
                  <c:v>1680</c:v>
                </c:pt>
                <c:pt idx="266">
                  <c:v>1901</c:v>
                </c:pt>
                <c:pt idx="267">
                  <c:v>2078</c:v>
                </c:pt>
                <c:pt idx="268">
                  <c:v>1876</c:v>
                </c:pt>
                <c:pt idx="269">
                  <c:v>1853</c:v>
                </c:pt>
                <c:pt idx="270">
                  <c:v>2235</c:v>
                </c:pt>
                <c:pt idx="271">
                  <c:v>1778</c:v>
                </c:pt>
                <c:pt idx="272">
                  <c:v>1882</c:v>
                </c:pt>
                <c:pt idx="273">
                  <c:v>1906</c:v>
                </c:pt>
                <c:pt idx="274">
                  <c:v>2149</c:v>
                </c:pt>
                <c:pt idx="275">
                  <c:v>722</c:v>
                </c:pt>
                <c:pt idx="276">
                  <c:v>2886</c:v>
                </c:pt>
                <c:pt idx="277">
                  <c:v>2915</c:v>
                </c:pt>
                <c:pt idx="278">
                  <c:v>2895</c:v>
                </c:pt>
                <c:pt idx="279">
                  <c:v>2923</c:v>
                </c:pt>
                <c:pt idx="280">
                  <c:v>3323</c:v>
                </c:pt>
                <c:pt idx="281">
                  <c:v>3357</c:v>
                </c:pt>
                <c:pt idx="282">
                  <c:v>2931</c:v>
                </c:pt>
                <c:pt idx="283">
                  <c:v>2848</c:v>
                </c:pt>
                <c:pt idx="284">
                  <c:v>2943</c:v>
                </c:pt>
                <c:pt idx="285">
                  <c:v>2822</c:v>
                </c:pt>
                <c:pt idx="286">
                  <c:v>2981</c:v>
                </c:pt>
                <c:pt idx="287">
                  <c:v>3597</c:v>
                </c:pt>
                <c:pt idx="288">
                  <c:v>3224</c:v>
                </c:pt>
                <c:pt idx="289">
                  <c:v>2677</c:v>
                </c:pt>
                <c:pt idx="290">
                  <c:v>0</c:v>
                </c:pt>
                <c:pt idx="291">
                  <c:v>2142</c:v>
                </c:pt>
                <c:pt idx="292">
                  <c:v>1615</c:v>
                </c:pt>
                <c:pt idx="293">
                  <c:v>1481</c:v>
                </c:pt>
                <c:pt idx="294">
                  <c:v>1892</c:v>
                </c:pt>
                <c:pt idx="295">
                  <c:v>2086</c:v>
                </c:pt>
                <c:pt idx="296">
                  <c:v>2044</c:v>
                </c:pt>
                <c:pt idx="297">
                  <c:v>2249</c:v>
                </c:pt>
                <c:pt idx="298">
                  <c:v>2019</c:v>
                </c:pt>
                <c:pt idx="299">
                  <c:v>1692</c:v>
                </c:pt>
                <c:pt idx="300">
                  <c:v>1712</c:v>
                </c:pt>
                <c:pt idx="301">
                  <c:v>2065</c:v>
                </c:pt>
                <c:pt idx="302">
                  <c:v>633</c:v>
                </c:pt>
                <c:pt idx="303">
                  <c:v>3625</c:v>
                </c:pt>
                <c:pt idx="304">
                  <c:v>4430</c:v>
                </c:pt>
                <c:pt idx="305">
                  <c:v>3427</c:v>
                </c:pt>
                <c:pt idx="306">
                  <c:v>3492</c:v>
                </c:pt>
                <c:pt idx="307">
                  <c:v>3597</c:v>
                </c:pt>
                <c:pt idx="308">
                  <c:v>3765</c:v>
                </c:pt>
                <c:pt idx="309">
                  <c:v>2775</c:v>
                </c:pt>
                <c:pt idx="310">
                  <c:v>2486</c:v>
                </c:pt>
                <c:pt idx="311">
                  <c:v>3817</c:v>
                </c:pt>
                <c:pt idx="312">
                  <c:v>3378</c:v>
                </c:pt>
                <c:pt idx="313">
                  <c:v>1511</c:v>
                </c:pt>
                <c:pt idx="314">
                  <c:v>2210</c:v>
                </c:pt>
                <c:pt idx="315">
                  <c:v>2884</c:v>
                </c:pt>
                <c:pt idx="316">
                  <c:v>1496</c:v>
                </c:pt>
                <c:pt idx="317">
                  <c:v>2262</c:v>
                </c:pt>
                <c:pt idx="318">
                  <c:v>2445</c:v>
                </c:pt>
                <c:pt idx="319">
                  <c:v>2694</c:v>
                </c:pt>
                <c:pt idx="320">
                  <c:v>1903</c:v>
                </c:pt>
                <c:pt idx="321">
                  <c:v>2482</c:v>
                </c:pt>
                <c:pt idx="322">
                  <c:v>2617</c:v>
                </c:pt>
                <c:pt idx="323">
                  <c:v>0</c:v>
                </c:pt>
                <c:pt idx="324">
                  <c:v>2778</c:v>
                </c:pt>
                <c:pt idx="325">
                  <c:v>3119</c:v>
                </c:pt>
                <c:pt idx="326">
                  <c:v>2664</c:v>
                </c:pt>
                <c:pt idx="327">
                  <c:v>2060</c:v>
                </c:pt>
                <c:pt idx="328">
                  <c:v>2060</c:v>
                </c:pt>
                <c:pt idx="329">
                  <c:v>2060</c:v>
                </c:pt>
                <c:pt idx="330">
                  <c:v>2060</c:v>
                </c:pt>
                <c:pt idx="331">
                  <c:v>2060</c:v>
                </c:pt>
                <c:pt idx="332">
                  <c:v>2060</c:v>
                </c:pt>
                <c:pt idx="333">
                  <c:v>735</c:v>
                </c:pt>
                <c:pt idx="334">
                  <c:v>1820</c:v>
                </c:pt>
                <c:pt idx="335">
                  <c:v>2224</c:v>
                </c:pt>
                <c:pt idx="336">
                  <c:v>1820</c:v>
                </c:pt>
                <c:pt idx="337">
                  <c:v>1820</c:v>
                </c:pt>
                <c:pt idx="338">
                  <c:v>2442</c:v>
                </c:pt>
                <c:pt idx="339">
                  <c:v>1849</c:v>
                </c:pt>
                <c:pt idx="340">
                  <c:v>1822</c:v>
                </c:pt>
                <c:pt idx="341">
                  <c:v>1820</c:v>
                </c:pt>
                <c:pt idx="342">
                  <c:v>251</c:v>
                </c:pt>
                <c:pt idx="343">
                  <c:v>3065</c:v>
                </c:pt>
                <c:pt idx="344">
                  <c:v>2207</c:v>
                </c:pt>
                <c:pt idx="345">
                  <c:v>1977</c:v>
                </c:pt>
                <c:pt idx="346">
                  <c:v>1841</c:v>
                </c:pt>
                <c:pt idx="347">
                  <c:v>4286</c:v>
                </c:pt>
                <c:pt idx="348">
                  <c:v>3920</c:v>
                </c:pt>
                <c:pt idx="349">
                  <c:v>3856</c:v>
                </c:pt>
                <c:pt idx="350">
                  <c:v>2584</c:v>
                </c:pt>
                <c:pt idx="351">
                  <c:v>787</c:v>
                </c:pt>
                <c:pt idx="352">
                  <c:v>2244</c:v>
                </c:pt>
                <c:pt idx="353">
                  <c:v>2188</c:v>
                </c:pt>
                <c:pt idx="354">
                  <c:v>2014</c:v>
                </c:pt>
                <c:pt idx="355">
                  <c:v>2115</c:v>
                </c:pt>
                <c:pt idx="356">
                  <c:v>2055</c:v>
                </c:pt>
                <c:pt idx="357">
                  <c:v>2437</c:v>
                </c:pt>
                <c:pt idx="358">
                  <c:v>2158</c:v>
                </c:pt>
                <c:pt idx="359">
                  <c:v>2170</c:v>
                </c:pt>
                <c:pt idx="360">
                  <c:v>2244</c:v>
                </c:pt>
                <c:pt idx="361">
                  <c:v>2188</c:v>
                </c:pt>
                <c:pt idx="362">
                  <c:v>2231</c:v>
                </c:pt>
                <c:pt idx="363">
                  <c:v>2100</c:v>
                </c:pt>
                <c:pt idx="364">
                  <c:v>2188</c:v>
                </c:pt>
                <c:pt idx="365">
                  <c:v>917</c:v>
                </c:pt>
                <c:pt idx="366">
                  <c:v>2573</c:v>
                </c:pt>
                <c:pt idx="367">
                  <c:v>2575</c:v>
                </c:pt>
                <c:pt idx="368">
                  <c:v>3086</c:v>
                </c:pt>
                <c:pt idx="369">
                  <c:v>2886</c:v>
                </c:pt>
                <c:pt idx="370">
                  <c:v>2676</c:v>
                </c:pt>
                <c:pt idx="371">
                  <c:v>2811</c:v>
                </c:pt>
                <c:pt idx="372">
                  <c:v>2840</c:v>
                </c:pt>
                <c:pt idx="373">
                  <c:v>2871</c:v>
                </c:pt>
                <c:pt idx="374">
                  <c:v>2613</c:v>
                </c:pt>
                <c:pt idx="375">
                  <c:v>2700</c:v>
                </c:pt>
                <c:pt idx="376">
                  <c:v>2871</c:v>
                </c:pt>
                <c:pt idx="377">
                  <c:v>1023</c:v>
                </c:pt>
                <c:pt idx="378">
                  <c:v>2496</c:v>
                </c:pt>
                <c:pt idx="379">
                  <c:v>1641</c:v>
                </c:pt>
                <c:pt idx="380">
                  <c:v>1794</c:v>
                </c:pt>
                <c:pt idx="381">
                  <c:v>2421</c:v>
                </c:pt>
                <c:pt idx="382">
                  <c:v>2439</c:v>
                </c:pt>
                <c:pt idx="383">
                  <c:v>2233</c:v>
                </c:pt>
                <c:pt idx="384">
                  <c:v>2862</c:v>
                </c:pt>
                <c:pt idx="385">
                  <c:v>2752</c:v>
                </c:pt>
                <c:pt idx="386">
                  <c:v>2519</c:v>
                </c:pt>
                <c:pt idx="387">
                  <c:v>1799</c:v>
                </c:pt>
                <c:pt idx="388">
                  <c:v>2543</c:v>
                </c:pt>
                <c:pt idx="389">
                  <c:v>625</c:v>
                </c:pt>
                <c:pt idx="390">
                  <c:v>3377</c:v>
                </c:pt>
                <c:pt idx="391">
                  <c:v>3697</c:v>
                </c:pt>
                <c:pt idx="392">
                  <c:v>3209</c:v>
                </c:pt>
                <c:pt idx="393">
                  <c:v>3167</c:v>
                </c:pt>
                <c:pt idx="394">
                  <c:v>3122</c:v>
                </c:pt>
                <c:pt idx="395">
                  <c:v>3176</c:v>
                </c:pt>
                <c:pt idx="396">
                  <c:v>2790</c:v>
                </c:pt>
                <c:pt idx="397">
                  <c:v>2715</c:v>
                </c:pt>
                <c:pt idx="398">
                  <c:v>2684</c:v>
                </c:pt>
                <c:pt idx="399">
                  <c:v>3097</c:v>
                </c:pt>
                <c:pt idx="400">
                  <c:v>791</c:v>
                </c:pt>
                <c:pt idx="401">
                  <c:v>1429</c:v>
                </c:pt>
                <c:pt idx="402">
                  <c:v>1429</c:v>
                </c:pt>
                <c:pt idx="403">
                  <c:v>1429</c:v>
                </c:pt>
                <c:pt idx="404">
                  <c:v>1429</c:v>
                </c:pt>
                <c:pt idx="405">
                  <c:v>1429</c:v>
                </c:pt>
                <c:pt idx="406">
                  <c:v>1607</c:v>
                </c:pt>
                <c:pt idx="407">
                  <c:v>1776</c:v>
                </c:pt>
                <c:pt idx="408">
                  <c:v>2162</c:v>
                </c:pt>
                <c:pt idx="409">
                  <c:v>1832</c:v>
                </c:pt>
                <c:pt idx="410">
                  <c:v>1657</c:v>
                </c:pt>
                <c:pt idx="411">
                  <c:v>1377</c:v>
                </c:pt>
                <c:pt idx="412">
                  <c:v>0</c:v>
                </c:pt>
                <c:pt idx="413">
                  <c:v>3669</c:v>
                </c:pt>
                <c:pt idx="414">
                  <c:v>2702</c:v>
                </c:pt>
                <c:pt idx="415">
                  <c:v>3304</c:v>
                </c:pt>
                <c:pt idx="416">
                  <c:v>4234</c:v>
                </c:pt>
                <c:pt idx="417">
                  <c:v>4128</c:v>
                </c:pt>
                <c:pt idx="418">
                  <c:v>3798</c:v>
                </c:pt>
                <c:pt idx="419">
                  <c:v>3839</c:v>
                </c:pt>
                <c:pt idx="420">
                  <c:v>3713</c:v>
                </c:pt>
                <c:pt idx="421">
                  <c:v>2606</c:v>
                </c:pt>
                <c:pt idx="422">
                  <c:v>2624</c:v>
                </c:pt>
                <c:pt idx="423">
                  <c:v>3775</c:v>
                </c:pt>
                <c:pt idx="424">
                  <c:v>1882</c:v>
                </c:pt>
                <c:pt idx="425">
                  <c:v>2360</c:v>
                </c:pt>
                <c:pt idx="426">
                  <c:v>2517</c:v>
                </c:pt>
                <c:pt idx="427">
                  <c:v>2400</c:v>
                </c:pt>
                <c:pt idx="428">
                  <c:v>2462</c:v>
                </c:pt>
                <c:pt idx="429">
                  <c:v>2786</c:v>
                </c:pt>
                <c:pt idx="430">
                  <c:v>2354</c:v>
                </c:pt>
                <c:pt idx="431">
                  <c:v>2437</c:v>
                </c:pt>
                <c:pt idx="432">
                  <c:v>1814</c:v>
                </c:pt>
                <c:pt idx="433">
                  <c:v>2260</c:v>
                </c:pt>
                <c:pt idx="434">
                  <c:v>3004</c:v>
                </c:pt>
                <c:pt idx="435">
                  <c:v>2667</c:v>
                </c:pt>
                <c:pt idx="436">
                  <c:v>2229</c:v>
                </c:pt>
                <c:pt idx="437">
                  <c:v>2100</c:v>
                </c:pt>
                <c:pt idx="438">
                  <c:v>2114</c:v>
                </c:pt>
                <c:pt idx="439">
                  <c:v>1961</c:v>
                </c:pt>
                <c:pt idx="440">
                  <c:v>1953</c:v>
                </c:pt>
                <c:pt idx="441">
                  <c:v>1890</c:v>
                </c:pt>
                <c:pt idx="442">
                  <c:v>2253</c:v>
                </c:pt>
                <c:pt idx="443">
                  <c:v>1725</c:v>
                </c:pt>
                <c:pt idx="444">
                  <c:v>728</c:v>
                </c:pt>
                <c:pt idx="445">
                  <c:v>3527</c:v>
                </c:pt>
                <c:pt idx="446">
                  <c:v>4220</c:v>
                </c:pt>
                <c:pt idx="447">
                  <c:v>3864</c:v>
                </c:pt>
                <c:pt idx="448">
                  <c:v>3662</c:v>
                </c:pt>
                <c:pt idx="449">
                  <c:v>2834</c:v>
                </c:pt>
                <c:pt idx="450">
                  <c:v>4039</c:v>
                </c:pt>
                <c:pt idx="451">
                  <c:v>2947</c:v>
                </c:pt>
                <c:pt idx="452">
                  <c:v>4196</c:v>
                </c:pt>
                <c:pt idx="453">
                  <c:v>3841</c:v>
                </c:pt>
                <c:pt idx="454">
                  <c:v>4526</c:v>
                </c:pt>
                <c:pt idx="455">
                  <c:v>2820</c:v>
                </c:pt>
                <c:pt idx="456">
                  <c:v>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E4-4CD0-AF14-2928560DC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774520"/>
        <c:axId val="684776816"/>
      </c:scatterChart>
      <c:valAx>
        <c:axId val="684774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776816"/>
        <c:crosses val="autoZero"/>
        <c:crossBetween val="midCat"/>
      </c:valAx>
      <c:valAx>
        <c:axId val="6847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774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2</xdr:row>
      <xdr:rowOff>11430</xdr:rowOff>
    </xdr:from>
    <xdr:to>
      <xdr:col>15</xdr:col>
      <xdr:colOff>419100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49CDCF-AFF6-4CB3-B12E-081E4783B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198120</xdr:colOff>
      <xdr:row>18</xdr:row>
      <xdr:rowOff>125730</xdr:rowOff>
    </xdr:from>
    <xdr:to>
      <xdr:col>15</xdr:col>
      <xdr:colOff>502920</xdr:colOff>
      <xdr:row>33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1442CC-A180-4DC0-8843-D92D06158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19</xdr:row>
      <xdr:rowOff>175266</xdr:rowOff>
    </xdr:from>
    <xdr:to>
      <xdr:col>14</xdr:col>
      <xdr:colOff>487680</xdr:colOff>
      <xdr:row>34</xdr:row>
      <xdr:rowOff>175266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EB5A8F-8F51-4D7E-9237-BA8412966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114300</xdr:colOff>
      <xdr:row>1</xdr:row>
      <xdr:rowOff>91446</xdr:rowOff>
    </xdr:from>
    <xdr:to>
      <xdr:col>17</xdr:col>
      <xdr:colOff>342900</xdr:colOff>
      <xdr:row>18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DDACD6-277F-4FF5-A877-F3E497A88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u City" refreshedDate="46025.865825925925" createdVersion="7" refreshedVersion="7" minRefreshableVersion="3" recordCount="457" xr:uid="{00000000-000A-0000-FFFF-FFFF02000000}">
  <cacheSource type="worksheet">
    <worksheetSource ref="A1:F458" sheet="Case_Study"/>
  </cacheSource>
  <cacheFields count="6">
    <cacheField name="Id" numFmtId="0">
      <sharedItems containsSemiMixedTypes="0" containsString="0" containsNumber="1" containsInteger="1" minValue="1503960366" maxValue="8877689391" count="35">
        <n v="1503960366"/>
        <n v="1624580081"/>
        <n v="1644430081"/>
        <n v="1844505072"/>
        <n v="1927972279"/>
        <n v="2022484408"/>
        <n v="2026352035"/>
        <n v="2320127002"/>
        <n v="2347167796"/>
        <n v="2873212765"/>
        <n v="2891001357"/>
        <n v="3372868164"/>
        <n v="3977333714"/>
        <n v="4020332650"/>
        <n v="4057192912"/>
        <n v="4319703577"/>
        <n v="4388161847"/>
        <n v="4445114986"/>
        <n v="4558609924"/>
        <n v="4702921684"/>
        <n v="5553957443"/>
        <n v="5577150313"/>
        <n v="6117666160"/>
        <n v="6290855005"/>
        <n v="6391747486"/>
        <n v="6775888955"/>
        <n v="6962181067"/>
        <n v="7007744171"/>
        <n v="7086361926"/>
        <n v="8053475328"/>
        <n v="8253242879"/>
        <n v="8378563200"/>
        <n v="8583815059"/>
        <n v="8792009665"/>
        <n v="8877689391"/>
      </sharedItems>
    </cacheField>
    <cacheField name="Activity_Date" numFmtId="14">
      <sharedItems containsSemiMixedTypes="0" containsNonDate="0" containsDate="1" containsString="0" minDate="2016-03-12T00:00:00" maxDate="2016-04-13T00:00:00"/>
    </cacheField>
    <cacheField name="Week_day" numFmtId="14">
      <sharedItems/>
    </cacheField>
    <cacheField name="Total_Steps" numFmtId="2">
      <sharedItems containsSemiMixedTypes="0" containsString="0" containsNumber="1" containsInteger="1" minValue="0" maxValue="28497"/>
    </cacheField>
    <cacheField name="Total_Distance" numFmtId="164">
      <sharedItems containsSemiMixedTypes="0" containsString="0" containsNumber="1" minValue="0" maxValue="27.530000686645501"/>
    </cacheField>
    <cacheField name="Calories" numFmtId="1">
      <sharedItems containsSemiMixedTypes="0" containsString="0" containsNumber="1" containsInteger="1" minValue="0" maxValue="45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u City" refreshedDate="46025.871693749999" createdVersion="7" refreshedVersion="7" minRefreshableVersion="3" recordCount="457" xr:uid="{00000000-000A-0000-FFFF-FFFF09000000}">
  <cacheSource type="worksheet">
    <worksheetSource ref="A1:G458" sheet="Case_Study"/>
  </cacheSource>
  <cacheFields count="7">
    <cacheField name="Id" numFmtId="0">
      <sharedItems containsSemiMixedTypes="0" containsString="0" containsNumber="1" containsInteger="1" minValue="1503960366" maxValue="8877689391" count="35">
        <n v="1503960366"/>
        <n v="1624580081"/>
        <n v="1644430081"/>
        <n v="1844505072"/>
        <n v="1927972279"/>
        <n v="2022484408"/>
        <n v="2026352035"/>
        <n v="2320127002"/>
        <n v="2347167796"/>
        <n v="2873212765"/>
        <n v="2891001357"/>
        <n v="3372868164"/>
        <n v="3977333714"/>
        <n v="4020332650"/>
        <n v="4057192912"/>
        <n v="4319703577"/>
        <n v="4388161847"/>
        <n v="4445114986"/>
        <n v="4558609924"/>
        <n v="4702921684"/>
        <n v="5553957443"/>
        <n v="5577150313"/>
        <n v="6117666160"/>
        <n v="6290855005"/>
        <n v="6391747486"/>
        <n v="6775888955"/>
        <n v="6962181067"/>
        <n v="7007744171"/>
        <n v="7086361926"/>
        <n v="8053475328"/>
        <n v="8253242879"/>
        <n v="8378563200"/>
        <n v="8583815059"/>
        <n v="8792009665"/>
        <n v="8877689391"/>
      </sharedItems>
    </cacheField>
    <cacheField name="Activity_Date" numFmtId="14">
      <sharedItems containsSemiMixedTypes="0" containsNonDate="0" containsDate="1" containsString="0" minDate="2016-03-12T00:00:00" maxDate="2016-04-13T00:00:00"/>
    </cacheField>
    <cacheField name="Week_day" numFmtId="14">
      <sharedItems/>
    </cacheField>
    <cacheField name="Total_Steps" numFmtId="1">
      <sharedItems containsSemiMixedTypes="0" containsString="0" containsNumber="1" containsInteger="1" minValue="0" maxValue="28497" count="389">
        <n v="11004"/>
        <n v="17609"/>
        <n v="12736"/>
        <n v="13231"/>
        <n v="12041"/>
        <n v="10970"/>
        <n v="12256"/>
        <n v="12262"/>
        <n v="11248"/>
        <n v="10016"/>
        <n v="14557"/>
        <n v="14844"/>
        <n v="11974"/>
        <n v="10198"/>
        <n v="12521"/>
        <n v="12432"/>
        <n v="10057"/>
        <n v="10990"/>
        <n v="224"/>
        <n v="1810"/>
        <n v="815"/>
        <n v="1985"/>
        <n v="1905"/>
        <n v="1552"/>
        <n v="1675"/>
        <n v="4506"/>
        <n v="9218"/>
        <n v="1556"/>
        <n v="2910"/>
        <n v="18464"/>
        <n v="1335"/>
        <n v="1004"/>
        <n v="1111"/>
        <n v="6344"/>
        <n v="3572"/>
        <n v="3910"/>
        <n v="10000"/>
        <n v="6627"/>
        <n v="4636"/>
        <n v="20237"/>
        <n v="12912"/>
        <n v="2819"/>
        <n v="9921"/>
        <n v="8046"/>
        <n v="11166"/>
        <n v="7842"/>
        <n v="13840"/>
        <n v="1329"/>
        <n v="6847"/>
        <n v="5367"/>
        <n v="2841"/>
        <n v="0"/>
        <n v="7"/>
        <n v="5316"/>
        <n v="4979"/>
        <n v="6556"/>
        <n v="5430"/>
        <n v="4317"/>
        <n v="5662"/>
        <n v="3198"/>
        <n v="2352"/>
        <n v="2234"/>
        <n v="1259"/>
        <n v="768"/>
        <n v="519"/>
        <n v="2523"/>
        <n v="2105"/>
        <n v="1209"/>
        <n v="24"/>
        <n v="13603"/>
        <n v="5477"/>
        <n v="11144"/>
        <n v="15313"/>
        <n v="10805"/>
        <n v="15392"/>
        <n v="18247"/>
        <n v="13023"/>
        <n v="16267"/>
        <n v="10005"/>
        <n v="10106"/>
        <n v="6717"/>
        <n v="2605"/>
        <n v="1229"/>
        <n v="2308"/>
        <n v="6679"/>
        <n v="5645"/>
        <n v="3180"/>
        <n v="2767"/>
        <n v="3762"/>
        <n v="3098"/>
        <n v="5142"/>
        <n v="3279"/>
        <n v="1019"/>
        <n v="4931"/>
        <n v="6999"/>
        <n v="1846"/>
        <n v="3417"/>
        <n v="4863"/>
        <n v="2277"/>
        <n v="11230"/>
        <n v="2098"/>
        <n v="10272"/>
        <n v="10533"/>
        <n v="6760"/>
        <n v="8328"/>
        <n v="15459"/>
        <n v="7485"/>
        <n v="10254"/>
        <n v="10114"/>
        <n v="11107"/>
        <n v="10320"/>
        <n v="10209"/>
        <n v="16081"/>
        <n v="10078"/>
        <n v="10001"/>
        <n v="890"/>
        <n v="2214"/>
        <n v="7640"/>
        <n v="9713"/>
        <n v="8432"/>
        <n v="7350"/>
        <n v="9353"/>
        <n v="7157"/>
        <n v="14103"/>
        <n v="5290"/>
        <n v="7497"/>
        <n v="4126"/>
        <n v="2063"/>
        <n v="5785"/>
        <n v="7625"/>
        <n v="4706"/>
        <n v="5861"/>
        <n v="4460"/>
        <n v="6406"/>
        <n v="7392"/>
        <n v="5551"/>
        <n v="8827"/>
        <n v="4662"/>
        <n v="4499"/>
        <n v="7618"/>
        <n v="11508"/>
        <n v="11943"/>
        <n v="12303"/>
        <n v="15425"/>
        <n v="8422"/>
        <n v="10226"/>
        <n v="14583"/>
        <n v="3573"/>
        <n v="3108"/>
        <n v="759"/>
        <n v="5543"/>
        <n v="3226"/>
        <n v="3023"/>
        <n v="5906"/>
        <n v="12483"/>
        <n v="8940"/>
        <n v="368"/>
        <n v="5702"/>
        <n v="10330"/>
        <n v="8778"/>
        <n v="6662"/>
        <n v="6309"/>
        <n v="1951"/>
        <n v="5563"/>
        <n v="4370"/>
        <n v="7144"/>
        <n v="2106"/>
        <n v="4152"/>
        <n v="5400"/>
        <n v="7428"/>
        <n v="5351"/>
        <n v="4299"/>
        <n v="6107"/>
        <n v="6429"/>
        <n v="6880"/>
        <n v="7476"/>
        <n v="6581"/>
        <n v="10480"/>
        <n v="7734"/>
        <n v="5129"/>
        <n v="2993"/>
        <n v="8"/>
        <n v="8433"/>
        <n v="2139"/>
        <n v="949"/>
        <n v="44"/>
        <n v="2660"/>
        <n v="5561"/>
        <n v="7239"/>
        <n v="2275"/>
        <n v="5137"/>
        <n v="5419"/>
        <n v="18"/>
        <n v="4"/>
        <n v="8426"/>
        <n v="1650"/>
        <n v="3434"/>
        <n v="6801"/>
        <n v="187"/>
        <n v="5643"/>
        <n v="9043"/>
        <n v="8144"/>
        <n v="9343"/>
        <n v="8405"/>
        <n v="8223"/>
        <n v="10067"/>
        <n v="8359"/>
        <n v="10946"/>
        <n v="9130"/>
        <n v="6544"/>
        <n v="2303"/>
        <n v="2600"/>
        <n v="4804"/>
        <n v="3271"/>
        <n v="5406"/>
        <n v="3146"/>
        <n v="2422"/>
        <n v="4239"/>
        <n v="6911"/>
        <n v="6667"/>
        <n v="4195"/>
        <n v="6625"/>
        <n v="5986"/>
        <n v="278"/>
        <n v="5336"/>
        <n v="3183"/>
        <n v="6176"/>
        <n v="8205"/>
        <n v="6799"/>
        <n v="5668"/>
        <n v="7998"/>
        <n v="5512"/>
        <n v="6263"/>
        <n v="8828"/>
        <n v="1260"/>
        <n v="6506"/>
        <n v="7583"/>
        <n v="6963"/>
        <n v="7165"/>
        <n v="10328"/>
        <n v="12116"/>
        <n v="7810"/>
        <n v="6670"/>
        <n v="7605"/>
        <n v="6585"/>
        <n v="8184"/>
        <n v="14002"/>
        <n v="11135"/>
        <n v="6499"/>
        <n v="12409"/>
        <n v="2937"/>
        <n v="1515"/>
        <n v="8921"/>
        <n v="11306"/>
        <n v="12252"/>
        <n v="15444"/>
        <n v="9938"/>
        <n v="4599"/>
        <n v="5594"/>
        <n v="11906"/>
        <n v="3436"/>
        <n v="10461"/>
        <n v="14873"/>
        <n v="9917"/>
        <n v="7401"/>
        <n v="8964"/>
        <n v="11080"/>
        <n v="4363"/>
        <n v="10494"/>
        <n v="9776"/>
        <n v="2862"/>
        <n v="7444"/>
        <n v="19658"/>
        <n v="8468"/>
        <n v="9910"/>
        <n v="4853"/>
        <n v="8955"/>
        <n v="10789"/>
        <n v="6633"/>
        <n v="9548"/>
        <n v="2101"/>
        <n v="9766"/>
        <n v="165"/>
        <n v="7225"/>
        <n v="1988"/>
        <n v="1577"/>
        <n v="9348"/>
        <n v="11761"/>
        <n v="13987"/>
        <n v="4131"/>
        <n v="14"/>
        <n v="15491"/>
        <n v="14097"/>
        <n v="10467"/>
        <n v="12437"/>
        <n v="12307"/>
        <n v="18952"/>
        <n v="12010"/>
        <n v="12480"/>
        <n v="13417"/>
        <n v="14400"/>
        <n v="12495"/>
        <n v="10148"/>
        <n v="12362"/>
        <n v="5893"/>
        <n v="11680"/>
        <n v="10976"/>
        <n v="16806"/>
        <n v="15266"/>
        <n v="12084"/>
        <n v="13513"/>
        <n v="14100"/>
        <n v="12627"/>
        <n v="10345"/>
        <n v="10146"/>
        <n v="12168"/>
        <n v="7413"/>
        <n v="11463"/>
        <n v="87"/>
        <n v="1949"/>
        <n v="6101"/>
        <n v="7478"/>
        <n v="7352"/>
        <n v="14604"/>
        <n v="9634"/>
        <n v="7338"/>
        <n v="569"/>
        <n v="6242"/>
        <n v="430"/>
        <n v="20188"/>
        <n v="25701"/>
        <n v="17395"/>
        <n v="17167"/>
        <n v="16435"/>
        <n v="17078"/>
        <n v="11693"/>
        <n v="11159"/>
        <n v="10118"/>
        <n v="16064"/>
        <n v="290"/>
        <n v="1931"/>
        <n v="5181"/>
        <n v="12026"/>
        <n v="5360"/>
        <n v="2545"/>
        <n v="1636"/>
        <n v="14179"/>
        <n v="3358"/>
        <n v="9152"/>
        <n v="13935"/>
        <n v="12846"/>
        <n v="9124"/>
        <n v="9725"/>
        <n v="8350"/>
        <n v="2240"/>
        <n v="2631"/>
        <n v="8837"/>
        <n v="3246"/>
        <n v="2174"/>
        <n v="3494"/>
        <n v="2380"/>
        <n v="3159"/>
        <n v="6835"/>
        <n v="2816"/>
        <n v="1408"/>
        <n v="4592"/>
        <n v="8452"/>
        <n v="7238"/>
        <n v="3821"/>
        <n v="2332"/>
        <n v="2121"/>
        <n v="1291"/>
        <n v="1467"/>
        <n v="1022"/>
        <n v="4605"/>
        <n v="178"/>
        <n v="20"/>
        <n v="18700"/>
        <n v="27572"/>
        <n v="15260"/>
        <n v="20779"/>
        <n v="10695"/>
        <n v="24136"/>
        <n v="10910"/>
        <n v="23014"/>
        <n v="16470"/>
        <n v="28497"/>
        <n v="10622"/>
        <n v="2350"/>
      </sharedItems>
    </cacheField>
    <cacheField name="Total_Distance" numFmtId="164">
      <sharedItems containsSemiMixedTypes="0" containsString="0" containsNumber="1" minValue="0" maxValue="27.530000686645501"/>
    </cacheField>
    <cacheField name="Calories" numFmtId="1">
      <sharedItems containsSemiMixedTypes="0" containsString="0" containsNumber="1" containsInteger="1" minValue="0" maxValue="4562" count="383">
        <n v="1819"/>
        <n v="2154"/>
        <n v="1944"/>
        <n v="1932"/>
        <n v="1886"/>
        <n v="1820"/>
        <n v="1889"/>
        <n v="1868"/>
        <n v="1843"/>
        <n v="1850"/>
        <n v="2030"/>
        <n v="2083"/>
        <n v="1861"/>
        <n v="1755"/>
        <n v="1895"/>
        <n v="1883"/>
        <n v="1811"/>
        <n v="50"/>
        <n v="1373"/>
        <n v="1264"/>
        <n v="1350"/>
        <n v="1342"/>
        <n v="1300"/>
        <n v="1313"/>
        <n v="1498"/>
        <n v="1541"/>
        <n v="1327"/>
        <n v="1452"/>
        <n v="1574"/>
        <n v="1308"/>
        <n v="1276"/>
        <n v="1278"/>
        <n v="1409"/>
        <n v="1370"/>
        <n v="1555"/>
        <n v="1469"/>
        <n v="706"/>
        <n v="3323"/>
        <n v="4029"/>
        <n v="3436"/>
        <n v="2444"/>
        <n v="3098"/>
        <n v="2925"/>
        <n v="3202"/>
        <n v="2928"/>
        <n v="3290"/>
        <n v="489"/>
        <n v="1969"/>
        <n v="1636"/>
        <n v="1347"/>
        <n v="1349"/>
        <n v="1965"/>
        <n v="1824"/>
        <n v="1807"/>
        <n v="1971"/>
        <n v="1888"/>
        <n v="399"/>
        <n v="2590"/>
        <n v="2783"/>
        <n v="2449"/>
        <n v="2380"/>
        <n v="2344"/>
        <n v="2202"/>
        <n v="2130"/>
        <n v="2088"/>
        <n v="2443"/>
        <n v="2442"/>
        <n v="2255"/>
        <n v="942"/>
        <n v="2645"/>
        <n v="2040"/>
        <n v="2395"/>
        <n v="2581"/>
        <n v="2735"/>
        <n v="2733"/>
        <n v="3021"/>
        <n v="2577"/>
        <n v="2811"/>
        <n v="2458"/>
        <n v="2568"/>
        <n v="1140"/>
        <n v="1407"/>
        <n v="1237"/>
        <n v="1330"/>
        <n v="1583"/>
        <n v="1538"/>
        <n v="1421"/>
        <n v="1392"/>
        <n v="1425"/>
        <n v="1413"/>
        <n v="1515"/>
        <n v="1405"/>
        <n v="600"/>
        <n v="1324"/>
        <n v="1708"/>
        <n v="1950"/>
        <n v="1508"/>
        <n v="1625"/>
        <n v="1772"/>
        <n v="1530"/>
        <n v="2206"/>
        <n v="790"/>
        <n v="2041"/>
        <n v="2187"/>
        <n v="1929"/>
        <n v="1935"/>
        <n v="2438"/>
        <n v="2035"/>
        <n v="2099"/>
        <n v="2096"/>
        <n v="2058"/>
        <n v="2338"/>
        <n v="2104"/>
        <n v="2488"/>
        <n v="2164"/>
        <n v="2009"/>
        <n v="1335"/>
        <n v="1559"/>
        <n v="1845"/>
        <n v="2046"/>
        <n v="1953"/>
        <n v="1910"/>
        <n v="2257"/>
        <n v="1724"/>
        <n v="1741"/>
        <n v="0"/>
        <n v="1920"/>
        <n v="4562"/>
        <n v="2881"/>
        <n v="1144"/>
        <n v="1852"/>
        <n v="2069"/>
        <n v="1816"/>
        <n v="1878"/>
        <n v="1787"/>
        <n v="2010"/>
        <n v="2038"/>
        <n v="1815"/>
        <n v="2062"/>
        <n v="1288"/>
        <n v="1490"/>
        <n v="1630"/>
        <n v="1648"/>
        <n v="1649"/>
        <n v="1783"/>
        <n v="1431"/>
        <n v="1524"/>
        <n v="1697"/>
        <n v="1232"/>
        <n v="1223"/>
        <n v="182"/>
        <n v="2990"/>
        <n v="2480"/>
        <n v="2570"/>
        <n v="3016"/>
        <n v="3830"/>
        <n v="3706"/>
        <n v="2024"/>
        <n v="2980"/>
        <n v="3728"/>
        <n v="3348"/>
        <n v="3162"/>
        <n v="3140"/>
        <n v="1980"/>
        <n v="3681"/>
        <n v="3444"/>
        <n v="3510"/>
        <n v="4010"/>
        <n v="2976"/>
        <n v="3418"/>
        <n v="3439"/>
        <n v="3338"/>
        <n v="2892"/>
        <n v="3313"/>
        <n v="3118"/>
        <n v="2966"/>
        <n v="3253"/>
        <n v="3032"/>
        <n v="4034"/>
        <n v="3264"/>
        <n v="2817"/>
        <n v="2507"/>
        <n v="446"/>
        <n v="1777"/>
        <n v="2453"/>
        <n v="1776"/>
        <n v="1870"/>
        <n v="1782"/>
        <n v="1978"/>
        <n v="2296"/>
        <n v="2484"/>
        <n v="2005"/>
        <n v="1778"/>
        <n v="2293"/>
        <n v="2259"/>
        <n v="1780"/>
        <n v="2360"/>
        <n v="1952"/>
        <n v="2101"/>
        <n v="2393"/>
        <n v="538"/>
        <n v="1958"/>
        <n v="2141"/>
        <n v="2129"/>
        <n v="2216"/>
        <n v="2178"/>
        <n v="2308"/>
        <n v="2201"/>
        <n v="2341"/>
        <n v="2236"/>
        <n v="1296"/>
        <n v="2032"/>
        <n v="2227"/>
        <n v="2133"/>
        <n v="2317"/>
        <n v="2217"/>
        <n v="2374"/>
        <n v="2335"/>
        <n v="2303"/>
        <n v="2210"/>
        <n v="2424"/>
        <n v="2297"/>
        <n v="745"/>
        <n v="1902"/>
        <n v="1680"/>
        <n v="1901"/>
        <n v="2078"/>
        <n v="1876"/>
        <n v="1853"/>
        <n v="2235"/>
        <n v="1882"/>
        <n v="1906"/>
        <n v="2149"/>
        <n v="722"/>
        <n v="2886"/>
        <n v="2915"/>
        <n v="2895"/>
        <n v="2923"/>
        <n v="3357"/>
        <n v="2931"/>
        <n v="2848"/>
        <n v="2943"/>
        <n v="2822"/>
        <n v="2981"/>
        <n v="3597"/>
        <n v="3224"/>
        <n v="2677"/>
        <n v="2142"/>
        <n v="1615"/>
        <n v="1481"/>
        <n v="1892"/>
        <n v="2086"/>
        <n v="2044"/>
        <n v="2249"/>
        <n v="2019"/>
        <n v="1692"/>
        <n v="1712"/>
        <n v="2065"/>
        <n v="633"/>
        <n v="3625"/>
        <n v="4430"/>
        <n v="3427"/>
        <n v="3492"/>
        <n v="3765"/>
        <n v="2775"/>
        <n v="2486"/>
        <n v="3817"/>
        <n v="3378"/>
        <n v="1511"/>
        <n v="2884"/>
        <n v="1496"/>
        <n v="2262"/>
        <n v="2445"/>
        <n v="2694"/>
        <n v="1903"/>
        <n v="2482"/>
        <n v="2617"/>
        <n v="2778"/>
        <n v="3119"/>
        <n v="2664"/>
        <n v="2060"/>
        <n v="735"/>
        <n v="2224"/>
        <n v="1849"/>
        <n v="1822"/>
        <n v="251"/>
        <n v="3065"/>
        <n v="2207"/>
        <n v="1977"/>
        <n v="1841"/>
        <n v="4286"/>
        <n v="3920"/>
        <n v="3856"/>
        <n v="2584"/>
        <n v="787"/>
        <n v="2244"/>
        <n v="2188"/>
        <n v="2014"/>
        <n v="2115"/>
        <n v="2055"/>
        <n v="2437"/>
        <n v="2158"/>
        <n v="2170"/>
        <n v="2231"/>
        <n v="2100"/>
        <n v="917"/>
        <n v="2573"/>
        <n v="2575"/>
        <n v="3086"/>
        <n v="2676"/>
        <n v="2840"/>
        <n v="2871"/>
        <n v="2613"/>
        <n v="2700"/>
        <n v="1023"/>
        <n v="2496"/>
        <n v="1641"/>
        <n v="1794"/>
        <n v="2421"/>
        <n v="2439"/>
        <n v="2233"/>
        <n v="2862"/>
        <n v="2752"/>
        <n v="2519"/>
        <n v="1799"/>
        <n v="2543"/>
        <n v="625"/>
        <n v="3377"/>
        <n v="3697"/>
        <n v="3209"/>
        <n v="3167"/>
        <n v="3122"/>
        <n v="3176"/>
        <n v="2790"/>
        <n v="2715"/>
        <n v="2684"/>
        <n v="3097"/>
        <n v="791"/>
        <n v="1429"/>
        <n v="1607"/>
        <n v="2162"/>
        <n v="1832"/>
        <n v="1657"/>
        <n v="1377"/>
        <n v="3669"/>
        <n v="2702"/>
        <n v="3304"/>
        <n v="4234"/>
        <n v="4128"/>
        <n v="3798"/>
        <n v="3839"/>
        <n v="3713"/>
        <n v="2606"/>
        <n v="2624"/>
        <n v="3775"/>
        <n v="2517"/>
        <n v="2400"/>
        <n v="2462"/>
        <n v="2786"/>
        <n v="2354"/>
        <n v="1814"/>
        <n v="2260"/>
        <n v="3004"/>
        <n v="2667"/>
        <n v="2229"/>
        <n v="2114"/>
        <n v="1961"/>
        <n v="1890"/>
        <n v="2253"/>
        <n v="1725"/>
        <n v="728"/>
        <n v="3527"/>
        <n v="4220"/>
        <n v="3864"/>
        <n v="3662"/>
        <n v="2834"/>
        <n v="4039"/>
        <n v="2947"/>
        <n v="4196"/>
        <n v="3841"/>
        <n v="4526"/>
        <n v="2820"/>
        <n v="938"/>
      </sharedItems>
    </cacheField>
    <cacheField name="Activity_Level" numFmtId="0">
      <sharedItems count="3">
        <s v="High"/>
        <s v="Low"/>
        <s v="Moder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7">
  <r>
    <x v="0"/>
    <d v="2016-03-25T00:00:00"/>
    <s v="Friday"/>
    <n v="11004"/>
    <n v="7.1100001335143999"/>
    <n v="1819"/>
  </r>
  <r>
    <x v="0"/>
    <d v="2016-03-26T00:00:00"/>
    <s v="Saturday"/>
    <n v="17609"/>
    <n v="11.550000190734901"/>
    <n v="2154"/>
  </r>
  <r>
    <x v="0"/>
    <d v="2016-03-27T00:00:00"/>
    <s v="Sunday"/>
    <n v="12736"/>
    <n v="8.5299997329711896"/>
    <n v="1944"/>
  </r>
  <r>
    <x v="0"/>
    <d v="2016-03-28T00:00:00"/>
    <s v="Monday"/>
    <n v="13231"/>
    <n v="8.9300003051757795"/>
    <n v="1932"/>
  </r>
  <r>
    <x v="0"/>
    <d v="2016-03-29T00:00:00"/>
    <s v="Tuesday"/>
    <n v="12041"/>
    <n v="7.8499999046325701"/>
    <n v="1886"/>
  </r>
  <r>
    <x v="0"/>
    <d v="2016-03-30T00:00:00"/>
    <s v="Wednesday"/>
    <n v="10970"/>
    <n v="7.1599998474121103"/>
    <n v="1820"/>
  </r>
  <r>
    <x v="0"/>
    <d v="2016-03-31T00:00:00"/>
    <s v="Thursday"/>
    <n v="12256"/>
    <n v="7.8600001335143999"/>
    <n v="1889"/>
  </r>
  <r>
    <x v="0"/>
    <d v="2016-04-01T00:00:00"/>
    <s v="Friday"/>
    <n v="12262"/>
    <n v="7.8699998855590803"/>
    <n v="1868"/>
  </r>
  <r>
    <x v="0"/>
    <d v="2016-04-02T00:00:00"/>
    <s v="Saturday"/>
    <n v="11248"/>
    <n v="7.25"/>
    <n v="1843"/>
  </r>
  <r>
    <x v="0"/>
    <d v="2016-04-03T00:00:00"/>
    <s v="Sunday"/>
    <n v="10016"/>
    <n v="6.3699998855590803"/>
    <n v="1850"/>
  </r>
  <r>
    <x v="0"/>
    <d v="2016-04-04T00:00:00"/>
    <s v="Monday"/>
    <n v="14557"/>
    <n v="9.8000001907348597"/>
    <n v="2030"/>
  </r>
  <r>
    <x v="0"/>
    <d v="2016-04-05T00:00:00"/>
    <s v="Tuesday"/>
    <n v="14844"/>
    <n v="9.7299995422363299"/>
    <n v="2083"/>
  </r>
  <r>
    <x v="0"/>
    <d v="2016-04-06T00:00:00"/>
    <s v="Wednesday"/>
    <n v="11974"/>
    <n v="7.6700000762939498"/>
    <n v="1861"/>
  </r>
  <r>
    <x v="0"/>
    <d v="2016-04-07T00:00:00"/>
    <s v="Thursday"/>
    <n v="10198"/>
    <n v="6.4400000572204599"/>
    <n v="1755"/>
  </r>
  <r>
    <x v="0"/>
    <d v="2016-04-08T00:00:00"/>
    <s v="Friday"/>
    <n v="12521"/>
    <n v="7.9400000572204599"/>
    <n v="1895"/>
  </r>
  <r>
    <x v="0"/>
    <d v="2016-04-09T00:00:00"/>
    <s v="Saturday"/>
    <n v="12432"/>
    <n v="8.1000003814697301"/>
    <n v="1883"/>
  </r>
  <r>
    <x v="0"/>
    <d v="2016-04-10T00:00:00"/>
    <s v="Sunday"/>
    <n v="10057"/>
    <n v="6.9800000190734899"/>
    <n v="1755"/>
  </r>
  <r>
    <x v="0"/>
    <d v="2016-04-11T00:00:00"/>
    <s v="Monday"/>
    <n v="10990"/>
    <n v="7.2600002288818404"/>
    <n v="1811"/>
  </r>
  <r>
    <x v="0"/>
    <d v="2016-04-12T00:00:00"/>
    <s v="Tuesday"/>
    <n v="224"/>
    <n v="0.140000000596046"/>
    <n v="50"/>
  </r>
  <r>
    <x v="1"/>
    <d v="2016-03-25T00:00:00"/>
    <s v="Friday"/>
    <n v="1810"/>
    <n v="1.1799999475479099"/>
    <n v="1373"/>
  </r>
  <r>
    <x v="1"/>
    <d v="2016-03-26T00:00:00"/>
    <s v="Saturday"/>
    <n v="815"/>
    <n v="0.52999997138977095"/>
    <n v="1264"/>
  </r>
  <r>
    <x v="1"/>
    <d v="2016-03-27T00:00:00"/>
    <s v="Sunday"/>
    <n v="1985"/>
    <n v="1.28999996185303"/>
    <n v="1350"/>
  </r>
  <r>
    <x v="1"/>
    <d v="2016-03-28T00:00:00"/>
    <s v="Monday"/>
    <n v="1905"/>
    <n v="1.2400000095367401"/>
    <n v="1342"/>
  </r>
  <r>
    <x v="1"/>
    <d v="2016-03-29T00:00:00"/>
    <s v="Tuesday"/>
    <n v="1552"/>
    <n v="1.0099999904632599"/>
    <n v="1300"/>
  </r>
  <r>
    <x v="1"/>
    <d v="2016-03-30T00:00:00"/>
    <s v="Wednesday"/>
    <n v="1675"/>
    <n v="1.0900000333786"/>
    <n v="1313"/>
  </r>
  <r>
    <x v="1"/>
    <d v="2016-03-31T00:00:00"/>
    <s v="Thursday"/>
    <n v="4506"/>
    <n v="2.9300000667571999"/>
    <n v="1498"/>
  </r>
  <r>
    <x v="1"/>
    <d v="2016-04-01T00:00:00"/>
    <s v="Friday"/>
    <n v="9218"/>
    <n v="5.9899997711181596"/>
    <n v="1541"/>
  </r>
  <r>
    <x v="1"/>
    <d v="2016-04-02T00:00:00"/>
    <s v="Saturday"/>
    <n v="1556"/>
    <n v="1.0099999904632599"/>
    <n v="1327"/>
  </r>
  <r>
    <x v="1"/>
    <d v="2016-04-03T00:00:00"/>
    <s v="Sunday"/>
    <n v="2910"/>
    <n v="1.8899999856948899"/>
    <n v="1452"/>
  </r>
  <r>
    <x v="1"/>
    <d v="2016-04-04T00:00:00"/>
    <s v="Monday"/>
    <n v="18464"/>
    <n v="12"/>
    <n v="1574"/>
  </r>
  <r>
    <x v="1"/>
    <d v="2016-04-05T00:00:00"/>
    <s v="Tuesday"/>
    <n v="1335"/>
    <n v="0.87000000476837203"/>
    <n v="1308"/>
  </r>
  <r>
    <x v="1"/>
    <d v="2016-04-06T00:00:00"/>
    <s v="Wednesday"/>
    <n v="1004"/>
    <n v="0.64999997615814198"/>
    <n v="1276"/>
  </r>
  <r>
    <x v="1"/>
    <d v="2016-04-07T00:00:00"/>
    <s v="Thursday"/>
    <n v="1111"/>
    <n v="0.72000002861022905"/>
    <n v="1278"/>
  </r>
  <r>
    <x v="1"/>
    <d v="2016-04-08T00:00:00"/>
    <s v="Friday"/>
    <n v="6344"/>
    <n v="4.1199998855590803"/>
    <n v="1409"/>
  </r>
  <r>
    <x v="1"/>
    <d v="2016-04-09T00:00:00"/>
    <s v="Saturday"/>
    <n v="3572"/>
    <n v="2.3199999332428001"/>
    <n v="1370"/>
  </r>
  <r>
    <x v="1"/>
    <d v="2016-04-10T00:00:00"/>
    <s v="Sunday"/>
    <n v="3910"/>
    <n v="2.53999996185303"/>
    <n v="1555"/>
  </r>
  <r>
    <x v="1"/>
    <d v="2016-04-11T00:00:00"/>
    <s v="Monday"/>
    <n v="10000"/>
    <n v="6.5"/>
    <n v="1469"/>
  </r>
  <r>
    <x v="1"/>
    <d v="2016-04-12T00:00:00"/>
    <s v="Tuesday"/>
    <n v="6627"/>
    <n v="4.3099999427795401"/>
    <n v="706"/>
  </r>
  <r>
    <x v="2"/>
    <d v="2016-04-01T00:00:00"/>
    <s v="Friday"/>
    <n v="4636"/>
    <n v="3.4100000858306898"/>
    <n v="3323"/>
  </r>
  <r>
    <x v="2"/>
    <d v="2016-04-02T00:00:00"/>
    <s v="Saturday"/>
    <n v="20237"/>
    <n v="14.710000038146999"/>
    <n v="4029"/>
  </r>
  <r>
    <x v="2"/>
    <d v="2016-04-03T00:00:00"/>
    <s v="Sunday"/>
    <n v="12912"/>
    <n v="9.4099998474121094"/>
    <n v="3436"/>
  </r>
  <r>
    <x v="2"/>
    <d v="2016-04-04T00:00:00"/>
    <s v="Monday"/>
    <n v="2819"/>
    <n v="2.0499999523162802"/>
    <n v="2444"/>
  </r>
  <r>
    <x v="2"/>
    <d v="2016-04-05T00:00:00"/>
    <s v="Tuesday"/>
    <n v="9921"/>
    <n v="7.21000003814697"/>
    <n v="3098"/>
  </r>
  <r>
    <x v="2"/>
    <d v="2016-04-06T00:00:00"/>
    <s v="Wednesday"/>
    <n v="8046"/>
    <n v="5.8499999046325701"/>
    <n v="2925"/>
  </r>
  <r>
    <x v="2"/>
    <d v="2016-04-07T00:00:00"/>
    <s v="Thursday"/>
    <n v="11166"/>
    <n v="8.1199998855590803"/>
    <n v="3202"/>
  </r>
  <r>
    <x v="2"/>
    <d v="2016-04-08T00:00:00"/>
    <s v="Friday"/>
    <n v="7842"/>
    <n v="5.6999998092651403"/>
    <n v="2928"/>
  </r>
  <r>
    <x v="2"/>
    <d v="2016-04-09T00:00:00"/>
    <s v="Saturday"/>
    <n v="13840"/>
    <n v="10.060000419616699"/>
    <n v="3290"/>
  </r>
  <r>
    <x v="2"/>
    <d v="2016-04-10T00:00:00"/>
    <s v="Sunday"/>
    <n v="1329"/>
    <n v="0.97000002861022905"/>
    <n v="489"/>
  </r>
  <r>
    <x v="3"/>
    <d v="2016-04-01T00:00:00"/>
    <s v="Friday"/>
    <n v="6847"/>
    <n v="4.5300002098083496"/>
    <n v="1969"/>
  </r>
  <r>
    <x v="3"/>
    <d v="2016-04-02T00:00:00"/>
    <s v="Saturday"/>
    <n v="5367"/>
    <n v="3.5499999523162802"/>
    <n v="1889"/>
  </r>
  <r>
    <x v="3"/>
    <d v="2016-04-03T00:00:00"/>
    <s v="Sunday"/>
    <n v="2841"/>
    <n v="1.87999999523163"/>
    <n v="1636"/>
  </r>
  <r>
    <x v="3"/>
    <d v="2016-04-04T00:00:00"/>
    <s v="Monday"/>
    <n v="0"/>
    <n v="0"/>
    <n v="1347"/>
  </r>
  <r>
    <x v="3"/>
    <d v="2016-04-05T00:00:00"/>
    <s v="Tuesday"/>
    <n v="0"/>
    <n v="0"/>
    <n v="1347"/>
  </r>
  <r>
    <x v="3"/>
    <d v="2016-04-06T00:00:00"/>
    <s v="Wednesday"/>
    <n v="7"/>
    <n v="0"/>
    <n v="1349"/>
  </r>
  <r>
    <x v="3"/>
    <d v="2016-04-07T00:00:00"/>
    <s v="Thursday"/>
    <n v="6344"/>
    <n v="4.1900000572204599"/>
    <n v="1965"/>
  </r>
  <r>
    <x v="3"/>
    <d v="2016-04-08T00:00:00"/>
    <s v="Friday"/>
    <n v="5316"/>
    <n v="3.5099999904632599"/>
    <n v="1824"/>
  </r>
  <r>
    <x v="3"/>
    <d v="2016-04-09T00:00:00"/>
    <s v="Saturday"/>
    <n v="4979"/>
    <n v="3.28999996185303"/>
    <n v="1807"/>
  </r>
  <r>
    <x v="3"/>
    <d v="2016-04-10T00:00:00"/>
    <s v="Sunday"/>
    <n v="6556"/>
    <n v="4.3400001525878897"/>
    <n v="1971"/>
  </r>
  <r>
    <x v="3"/>
    <d v="2016-04-11T00:00:00"/>
    <s v="Monday"/>
    <n v="5430"/>
    <n v="3.5899999141693102"/>
    <n v="1888"/>
  </r>
  <r>
    <x v="3"/>
    <d v="2016-04-12T00:00:00"/>
    <s v="Tuesday"/>
    <n v="0"/>
    <n v="0"/>
    <n v="399"/>
  </r>
  <r>
    <x v="4"/>
    <d v="2016-04-01T00:00:00"/>
    <s v="Friday"/>
    <n v="4317"/>
    <n v="2.9900000095367401"/>
    <n v="2590"/>
  </r>
  <r>
    <x v="4"/>
    <d v="2016-04-02T00:00:00"/>
    <s v="Saturday"/>
    <n v="5662"/>
    <n v="3.9200000762939502"/>
    <n v="2783"/>
  </r>
  <r>
    <x v="4"/>
    <d v="2016-04-03T00:00:00"/>
    <s v="Sunday"/>
    <n v="3198"/>
    <n v="2.21000003814697"/>
    <n v="2449"/>
  </r>
  <r>
    <x v="4"/>
    <d v="2016-04-04T00:00:00"/>
    <s v="Monday"/>
    <n v="2352"/>
    <n v="1.62999999523163"/>
    <n v="2380"/>
  </r>
  <r>
    <x v="4"/>
    <d v="2016-04-05T00:00:00"/>
    <s v="Tuesday"/>
    <n v="2234"/>
    <n v="1.54999995231628"/>
    <n v="2344"/>
  </r>
  <r>
    <x v="4"/>
    <d v="2016-04-06T00:00:00"/>
    <s v="Wednesday"/>
    <n v="1259"/>
    <n v="0.87000000476837203"/>
    <n v="2202"/>
  </r>
  <r>
    <x v="4"/>
    <d v="2016-04-07T00:00:00"/>
    <s v="Thursday"/>
    <n v="768"/>
    <n v="0.52999997138977095"/>
    <n v="2130"/>
  </r>
  <r>
    <x v="4"/>
    <d v="2016-04-08T00:00:00"/>
    <s v="Friday"/>
    <n v="519"/>
    <n v="0.36000001430511502"/>
    <n v="2088"/>
  </r>
  <r>
    <x v="4"/>
    <d v="2016-04-09T00:00:00"/>
    <s v="Saturday"/>
    <n v="2523"/>
    <n v="1.75"/>
    <n v="2443"/>
  </r>
  <r>
    <x v="4"/>
    <d v="2016-04-10T00:00:00"/>
    <s v="Sunday"/>
    <n v="2105"/>
    <n v="1.46000003814697"/>
    <n v="2442"/>
  </r>
  <r>
    <x v="4"/>
    <d v="2016-04-11T00:00:00"/>
    <s v="Monday"/>
    <n v="1209"/>
    <n v="0.83999997377395597"/>
    <n v="2255"/>
  </r>
  <r>
    <x v="4"/>
    <d v="2016-04-12T00:00:00"/>
    <s v="Tuesday"/>
    <n v="24"/>
    <n v="1.9999999552965199E-2"/>
    <n v="942"/>
  </r>
  <r>
    <x v="5"/>
    <d v="2016-04-01T00:00:00"/>
    <s v="Friday"/>
    <n v="13603"/>
    <n v="9.6000003814697301"/>
    <n v="2645"/>
  </r>
  <r>
    <x v="5"/>
    <d v="2016-04-02T00:00:00"/>
    <s v="Saturday"/>
    <n v="5477"/>
    <n v="3.8399999141693102"/>
    <n v="2040"/>
  </r>
  <r>
    <x v="5"/>
    <d v="2016-04-03T00:00:00"/>
    <s v="Sunday"/>
    <n v="11144"/>
    <n v="7.8200001716613796"/>
    <n v="2395"/>
  </r>
  <r>
    <x v="5"/>
    <d v="2016-04-04T00:00:00"/>
    <s v="Monday"/>
    <n v="15313"/>
    <n v="11"/>
    <n v="2581"/>
  </r>
  <r>
    <x v="5"/>
    <d v="2016-04-05T00:00:00"/>
    <s v="Tuesday"/>
    <n v="10805"/>
    <n v="7.5900001525878897"/>
    <n v="2735"/>
  </r>
  <r>
    <x v="5"/>
    <d v="2016-04-06T00:00:00"/>
    <s v="Wednesday"/>
    <n v="15392"/>
    <n v="10.930000305175801"/>
    <n v="2733"/>
  </r>
  <r>
    <x v="5"/>
    <d v="2016-04-07T00:00:00"/>
    <s v="Thursday"/>
    <n v="18247"/>
    <n v="13.829999923706101"/>
    <n v="3021"/>
  </r>
  <r>
    <x v="5"/>
    <d v="2016-04-08T00:00:00"/>
    <s v="Friday"/>
    <n v="13023"/>
    <n v="9.2600002288818395"/>
    <n v="2577"/>
  </r>
  <r>
    <x v="5"/>
    <d v="2016-04-09T00:00:00"/>
    <s v="Saturday"/>
    <n v="16267"/>
    <n v="12.5900001525879"/>
    <n v="2811"/>
  </r>
  <r>
    <x v="5"/>
    <d v="2016-04-10T00:00:00"/>
    <s v="Sunday"/>
    <n v="10005"/>
    <n v="7.0199999809265101"/>
    <n v="2458"/>
  </r>
  <r>
    <x v="5"/>
    <d v="2016-04-11T00:00:00"/>
    <s v="Monday"/>
    <n v="10106"/>
    <n v="7.0900001525878897"/>
    <n v="2568"/>
  </r>
  <r>
    <x v="5"/>
    <d v="2016-04-12T00:00:00"/>
    <s v="Tuesday"/>
    <n v="6717"/>
    <n v="4.7199997901916504"/>
    <n v="1140"/>
  </r>
  <r>
    <x v="6"/>
    <d v="2016-04-01T00:00:00"/>
    <s v="Friday"/>
    <n v="2605"/>
    <n v="1.62000000476837"/>
    <n v="1407"/>
  </r>
  <r>
    <x v="6"/>
    <d v="2016-04-02T00:00:00"/>
    <s v="Saturday"/>
    <n v="1229"/>
    <n v="0.75999999046325695"/>
    <n v="1237"/>
  </r>
  <r>
    <x v="6"/>
    <d v="2016-04-03T00:00:00"/>
    <s v="Sunday"/>
    <n v="2308"/>
    <n v="1.4299999475479099"/>
    <n v="1330"/>
  </r>
  <r>
    <x v="6"/>
    <d v="2016-04-04T00:00:00"/>
    <s v="Monday"/>
    <n v="6679"/>
    <n v="4.1399998664856001"/>
    <n v="1583"/>
  </r>
  <r>
    <x v="6"/>
    <d v="2016-04-05T00:00:00"/>
    <s v="Tuesday"/>
    <n v="5645"/>
    <n v="3.5"/>
    <n v="1538"/>
  </r>
  <r>
    <x v="6"/>
    <d v="2016-04-06T00:00:00"/>
    <s v="Wednesday"/>
    <n v="3180"/>
    <n v="1.9700000286102299"/>
    <n v="1421"/>
  </r>
  <r>
    <x v="6"/>
    <d v="2016-04-07T00:00:00"/>
    <s v="Thursday"/>
    <n v="2767"/>
    <n v="1.7200000286102299"/>
    <n v="1392"/>
  </r>
  <r>
    <x v="6"/>
    <d v="2016-04-08T00:00:00"/>
    <s v="Friday"/>
    <n v="3762"/>
    <n v="2.3299999237060498"/>
    <n v="1425"/>
  </r>
  <r>
    <x v="6"/>
    <d v="2016-04-09T00:00:00"/>
    <s v="Saturday"/>
    <n v="3098"/>
    <n v="1.91999995708466"/>
    <n v="1413"/>
  </r>
  <r>
    <x v="6"/>
    <d v="2016-04-10T00:00:00"/>
    <s v="Sunday"/>
    <n v="5142"/>
    <n v="3.1900000572204599"/>
    <n v="1515"/>
  </r>
  <r>
    <x v="6"/>
    <d v="2016-04-11T00:00:00"/>
    <s v="Monday"/>
    <n v="3279"/>
    <n v="2.0299999713897701"/>
    <n v="1405"/>
  </r>
  <r>
    <x v="6"/>
    <d v="2016-04-12T00:00:00"/>
    <s v="Tuesday"/>
    <n v="1019"/>
    <n v="0.62999999523162797"/>
    <n v="600"/>
  </r>
  <r>
    <x v="7"/>
    <d v="2016-04-01T00:00:00"/>
    <s v="Friday"/>
    <n v="0"/>
    <n v="0"/>
    <n v="1324"/>
  </r>
  <r>
    <x v="7"/>
    <d v="2016-04-02T00:00:00"/>
    <s v="Saturday"/>
    <n v="0"/>
    <n v="0"/>
    <n v="1324"/>
  </r>
  <r>
    <x v="7"/>
    <d v="2016-04-03T00:00:00"/>
    <s v="Sunday"/>
    <n v="0"/>
    <n v="0"/>
    <n v="1324"/>
  </r>
  <r>
    <x v="7"/>
    <d v="2016-04-04T00:00:00"/>
    <s v="Monday"/>
    <n v="0"/>
    <n v="0"/>
    <n v="1324"/>
  </r>
  <r>
    <x v="7"/>
    <d v="2016-04-05T00:00:00"/>
    <s v="Tuesday"/>
    <n v="4931"/>
    <n v="3.3199999332428001"/>
    <n v="1708"/>
  </r>
  <r>
    <x v="7"/>
    <d v="2016-04-06T00:00:00"/>
    <s v="Wednesday"/>
    <n v="6999"/>
    <n v="4.7199997901916504"/>
    <n v="1950"/>
  </r>
  <r>
    <x v="7"/>
    <d v="2016-04-07T00:00:00"/>
    <s v="Thursday"/>
    <n v="1846"/>
    <n v="1.2400000095367401"/>
    <n v="1508"/>
  </r>
  <r>
    <x v="7"/>
    <d v="2016-04-08T00:00:00"/>
    <s v="Friday"/>
    <n v="3417"/>
    <n v="2.2999999523162802"/>
    <n v="1625"/>
  </r>
  <r>
    <x v="7"/>
    <d v="2016-04-09T00:00:00"/>
    <s v="Saturday"/>
    <n v="4863"/>
    <n v="3.2799999713897701"/>
    <n v="1772"/>
  </r>
  <r>
    <x v="7"/>
    <d v="2016-04-10T00:00:00"/>
    <s v="Sunday"/>
    <n v="2277"/>
    <n v="1.5299999713897701"/>
    <n v="1530"/>
  </r>
  <r>
    <x v="7"/>
    <d v="2016-04-11T00:00:00"/>
    <s v="Monday"/>
    <n v="11230"/>
    <n v="7.6700000762939498"/>
    <n v="2206"/>
  </r>
  <r>
    <x v="7"/>
    <d v="2016-04-12T00:00:00"/>
    <s v="Tuesday"/>
    <n v="2098"/>
    <n v="1.4099999666214"/>
    <n v="790"/>
  </r>
  <r>
    <x v="8"/>
    <d v="2016-03-29T00:00:00"/>
    <s v="Tuesday"/>
    <n v="10272"/>
    <n v="6.78999996185303"/>
    <n v="2041"/>
  </r>
  <r>
    <x v="8"/>
    <d v="2016-03-30T00:00:00"/>
    <s v="Wednesday"/>
    <n v="10533"/>
    <n v="7.0999999046325701"/>
    <n v="2187"/>
  </r>
  <r>
    <x v="8"/>
    <d v="2016-03-31T00:00:00"/>
    <s v="Thursday"/>
    <n v="6760"/>
    <n v="4.4699997901916504"/>
    <n v="1929"/>
  </r>
  <r>
    <x v="8"/>
    <d v="2016-04-01T00:00:00"/>
    <s v="Friday"/>
    <n v="8328"/>
    <n v="5.5100002288818404"/>
    <n v="1935"/>
  </r>
  <r>
    <x v="8"/>
    <d v="2016-04-02T00:00:00"/>
    <s v="Saturday"/>
    <n v="15459"/>
    <n v="10.2200002670288"/>
    <n v="2438"/>
  </r>
  <r>
    <x v="8"/>
    <d v="2016-04-03T00:00:00"/>
    <s v="Sunday"/>
    <n v="7485"/>
    <n v="4.9499998092651403"/>
    <n v="2035"/>
  </r>
  <r>
    <x v="8"/>
    <d v="2016-04-04T00:00:00"/>
    <s v="Monday"/>
    <n v="10254"/>
    <n v="6.8000001907348597"/>
    <n v="2099"/>
  </r>
  <r>
    <x v="8"/>
    <d v="2016-04-05T00:00:00"/>
    <s v="Tuesday"/>
    <n v="10114"/>
    <n v="6.8200001716613796"/>
    <n v="2096"/>
  </r>
  <r>
    <x v="8"/>
    <d v="2016-04-06T00:00:00"/>
    <s v="Wednesday"/>
    <n v="11107"/>
    <n v="7.3400001525878897"/>
    <n v="2058"/>
  </r>
  <r>
    <x v="8"/>
    <d v="2016-04-07T00:00:00"/>
    <s v="Thursday"/>
    <n v="10320"/>
    <n v="6.8499999046325701"/>
    <n v="2338"/>
  </r>
  <r>
    <x v="8"/>
    <d v="2016-04-08T00:00:00"/>
    <s v="Friday"/>
    <n v="10209"/>
    <n v="6.75"/>
    <n v="2104"/>
  </r>
  <r>
    <x v="8"/>
    <d v="2016-04-09T00:00:00"/>
    <s v="Saturday"/>
    <n v="16081"/>
    <n v="10.6300001144409"/>
    <n v="2488"/>
  </r>
  <r>
    <x v="8"/>
    <d v="2016-04-10T00:00:00"/>
    <s v="Sunday"/>
    <n v="10078"/>
    <n v="6.8299999237060502"/>
    <n v="2164"/>
  </r>
  <r>
    <x v="8"/>
    <d v="2016-04-11T00:00:00"/>
    <s v="Monday"/>
    <n v="10001"/>
    <n v="6.6100001335143999"/>
    <n v="2009"/>
  </r>
  <r>
    <x v="8"/>
    <d v="2016-04-12T00:00:00"/>
    <s v="Tuesday"/>
    <n v="0"/>
    <n v="0"/>
    <n v="399"/>
  </r>
  <r>
    <x v="9"/>
    <d v="2016-04-01T00:00:00"/>
    <s v="Friday"/>
    <n v="890"/>
    <n v="0.60000002384185802"/>
    <n v="1335"/>
  </r>
  <r>
    <x v="9"/>
    <d v="2016-04-02T00:00:00"/>
    <s v="Saturday"/>
    <n v="2214"/>
    <n v="1.4900000095367401"/>
    <n v="1559"/>
  </r>
  <r>
    <x v="9"/>
    <d v="2016-04-03T00:00:00"/>
    <s v="Sunday"/>
    <n v="7640"/>
    <n v="5.1300001144409197"/>
    <n v="1845"/>
  </r>
  <r>
    <x v="9"/>
    <d v="2016-04-04T00:00:00"/>
    <s v="Monday"/>
    <n v="9713"/>
    <n v="6.5300002098083496"/>
    <n v="2046"/>
  </r>
  <r>
    <x v="9"/>
    <d v="2016-04-05T00:00:00"/>
    <s v="Tuesday"/>
    <n v="8432"/>
    <n v="5.6700000762939498"/>
    <n v="1953"/>
  </r>
  <r>
    <x v="9"/>
    <d v="2016-04-06T00:00:00"/>
    <s v="Wednesday"/>
    <n v="7350"/>
    <n v="4.9400000572204599"/>
    <n v="1910"/>
  </r>
  <r>
    <x v="9"/>
    <d v="2016-04-07T00:00:00"/>
    <s v="Thursday"/>
    <n v="9353"/>
    <n v="6.3099999427795401"/>
    <n v="2035"/>
  </r>
  <r>
    <x v="9"/>
    <d v="2016-04-08T00:00:00"/>
    <s v="Friday"/>
    <n v="7157"/>
    <n v="4.8099999427795401"/>
    <n v="1944"/>
  </r>
  <r>
    <x v="9"/>
    <d v="2016-04-09T00:00:00"/>
    <s v="Saturday"/>
    <n v="14103"/>
    <n v="9.5600004196166992"/>
    <n v="2257"/>
  </r>
  <r>
    <x v="9"/>
    <d v="2016-04-10T00:00:00"/>
    <s v="Sunday"/>
    <n v="5290"/>
    <n v="3.5499999523162802"/>
    <n v="1724"/>
  </r>
  <r>
    <x v="9"/>
    <d v="2016-04-11T00:00:00"/>
    <s v="Monday"/>
    <n v="7497"/>
    <n v="5.03999996185303"/>
    <n v="1741"/>
  </r>
  <r>
    <x v="9"/>
    <d v="2016-04-12T00:00:00"/>
    <s v="Tuesday"/>
    <n v="0"/>
    <n v="0"/>
    <n v="0"/>
  </r>
  <r>
    <x v="10"/>
    <d v="2016-03-29T00:00:00"/>
    <s v="Tuesday"/>
    <n v="0"/>
    <n v="0"/>
    <n v="1920"/>
  </r>
  <r>
    <x v="10"/>
    <d v="2016-03-30T00:00:00"/>
    <s v="Wednesday"/>
    <n v="0"/>
    <n v="0"/>
    <n v="1920"/>
  </r>
  <r>
    <x v="10"/>
    <d v="2016-03-31T00:00:00"/>
    <s v="Thursday"/>
    <n v="0"/>
    <n v="0"/>
    <n v="1920"/>
  </r>
  <r>
    <x v="10"/>
    <d v="2016-04-01T00:00:00"/>
    <s v="Friday"/>
    <n v="0"/>
    <n v="0"/>
    <n v="4562"/>
  </r>
  <r>
    <x v="10"/>
    <d v="2016-04-02T00:00:00"/>
    <s v="Saturday"/>
    <n v="4126"/>
    <n v="3.2200000286102299"/>
    <n v="2881"/>
  </r>
  <r>
    <x v="10"/>
    <d v="2016-04-03T00:00:00"/>
    <s v="Sunday"/>
    <n v="0"/>
    <n v="0"/>
    <n v="1920"/>
  </r>
  <r>
    <x v="10"/>
    <d v="2016-04-04T00:00:00"/>
    <s v="Monday"/>
    <n v="0"/>
    <n v="0"/>
    <n v="1920"/>
  </r>
  <r>
    <x v="10"/>
    <d v="2016-04-05T00:00:00"/>
    <s v="Tuesday"/>
    <n v="2063"/>
    <n v="1.6100000143051101"/>
    <n v="1144"/>
  </r>
  <r>
    <x v="11"/>
    <d v="2016-04-01T00:00:00"/>
    <s v="Friday"/>
    <n v="5785"/>
    <n v="3.9500000476837198"/>
    <n v="1852"/>
  </r>
  <r>
    <x v="11"/>
    <d v="2016-04-02T00:00:00"/>
    <s v="Saturday"/>
    <n v="7625"/>
    <n v="5.2300000190734899"/>
    <n v="2069"/>
  </r>
  <r>
    <x v="11"/>
    <d v="2016-04-03T00:00:00"/>
    <s v="Sunday"/>
    <n v="4706"/>
    <n v="3.21000003814697"/>
    <n v="1816"/>
  </r>
  <r>
    <x v="11"/>
    <d v="2016-04-04T00:00:00"/>
    <s v="Monday"/>
    <n v="5861"/>
    <n v="4.0199999809265101"/>
    <n v="1878"/>
  </r>
  <r>
    <x v="11"/>
    <d v="2016-04-05T00:00:00"/>
    <s v="Tuesday"/>
    <n v="4460"/>
    <n v="3.03999996185303"/>
    <n v="1787"/>
  </r>
  <r>
    <x v="11"/>
    <d v="2016-04-06T00:00:00"/>
    <s v="Wednesday"/>
    <n v="6406"/>
    <n v="4.3899998664856001"/>
    <n v="2010"/>
  </r>
  <r>
    <x v="11"/>
    <d v="2016-04-07T00:00:00"/>
    <s v="Thursday"/>
    <n v="7392"/>
    <n v="5.0999999046325701"/>
    <n v="2038"/>
  </r>
  <r>
    <x v="11"/>
    <d v="2016-04-08T00:00:00"/>
    <s v="Friday"/>
    <n v="5551"/>
    <n v="3.78999996185303"/>
    <n v="1815"/>
  </r>
  <r>
    <x v="11"/>
    <d v="2016-04-09T00:00:00"/>
    <s v="Saturday"/>
    <n v="8827"/>
    <n v="6.25"/>
    <n v="2062"/>
  </r>
  <r>
    <x v="11"/>
    <d v="2016-04-10T00:00:00"/>
    <s v="Sunday"/>
    <n v="4662"/>
    <n v="3.1800000667571999"/>
    <n v="1276"/>
  </r>
  <r>
    <x v="12"/>
    <d v="2016-04-01T00:00:00"/>
    <s v="Friday"/>
    <n v="4499"/>
    <n v="3.0099999904632599"/>
    <n v="1288"/>
  </r>
  <r>
    <x v="12"/>
    <d v="2016-04-02T00:00:00"/>
    <s v="Saturday"/>
    <n v="7618"/>
    <n v="5.0999999046325701"/>
    <n v="1490"/>
  </r>
  <r>
    <x v="12"/>
    <d v="2016-04-03T00:00:00"/>
    <s v="Sunday"/>
    <n v="11508"/>
    <n v="7.6999998092651403"/>
    <n v="1630"/>
  </r>
  <r>
    <x v="12"/>
    <d v="2016-04-04T00:00:00"/>
    <s v="Monday"/>
    <n v="11943"/>
    <n v="7.9899997711181596"/>
    <n v="1648"/>
  </r>
  <r>
    <x v="12"/>
    <d v="2016-04-05T00:00:00"/>
    <s v="Tuesday"/>
    <n v="12303"/>
    <n v="8.2299995422363299"/>
    <n v="1649"/>
  </r>
  <r>
    <x v="12"/>
    <d v="2016-04-06T00:00:00"/>
    <s v="Wednesday"/>
    <n v="15425"/>
    <n v="10.319999694824199"/>
    <n v="1783"/>
  </r>
  <r>
    <x v="12"/>
    <d v="2016-04-07T00:00:00"/>
    <s v="Thursday"/>
    <n v="8422"/>
    <n v="5.6300001144409197"/>
    <n v="1431"/>
  </r>
  <r>
    <x v="12"/>
    <d v="2016-04-08T00:00:00"/>
    <s v="Friday"/>
    <n v="10226"/>
    <n v="6.8400001525878897"/>
    <n v="1524"/>
  </r>
  <r>
    <x v="12"/>
    <d v="2016-04-09T00:00:00"/>
    <s v="Saturday"/>
    <n v="14583"/>
    <n v="9.7600002288818395"/>
    <n v="1697"/>
  </r>
  <r>
    <x v="12"/>
    <d v="2016-04-10T00:00:00"/>
    <s v="Sunday"/>
    <n v="3573"/>
    <n v="2.3900001049041699"/>
    <n v="1232"/>
  </r>
  <r>
    <x v="12"/>
    <d v="2016-04-11T00:00:00"/>
    <s v="Monday"/>
    <n v="3108"/>
    <n v="2.1400001049041699"/>
    <n v="1223"/>
  </r>
  <r>
    <x v="12"/>
    <d v="2016-04-12T00:00:00"/>
    <s v="Tuesday"/>
    <n v="759"/>
    <n v="0.56999999284744296"/>
    <n v="182"/>
  </r>
  <r>
    <x v="13"/>
    <d v="2016-03-12T00:00:00"/>
    <s v="Saturday"/>
    <n v="5543"/>
    <n v="3.9700000286102299"/>
    <n v="2990"/>
  </r>
  <r>
    <x v="13"/>
    <d v="2016-03-13T00:00:00"/>
    <s v="Sunday"/>
    <n v="3226"/>
    <n v="2.3099999427795401"/>
    <n v="2480"/>
  </r>
  <r>
    <x v="13"/>
    <d v="2016-03-14T00:00:00"/>
    <s v="Monday"/>
    <n v="3023"/>
    <n v="2.1700000762939502"/>
    <n v="2570"/>
  </r>
  <r>
    <x v="13"/>
    <d v="2016-03-15T00:00:00"/>
    <s v="Tuesday"/>
    <n v="5906"/>
    <n v="4.2300000190734899"/>
    <n v="3016"/>
  </r>
  <r>
    <x v="13"/>
    <d v="2016-03-16T00:00:00"/>
    <s v="Wednesday"/>
    <n v="12483"/>
    <n v="8.9899997711181605"/>
    <n v="3830"/>
  </r>
  <r>
    <x v="13"/>
    <d v="2016-03-17T00:00:00"/>
    <s v="Thursday"/>
    <n v="8940"/>
    <n v="6.4099998474121103"/>
    <n v="3706"/>
  </r>
  <r>
    <x v="13"/>
    <d v="2016-03-18T00:00:00"/>
    <s v="Friday"/>
    <n v="368"/>
    <n v="0.259999990463257"/>
    <n v="2024"/>
  </r>
  <r>
    <x v="13"/>
    <d v="2016-03-19T00:00:00"/>
    <s v="Saturday"/>
    <n v="5702"/>
    <n v="4.0900001525878897"/>
    <n v="2980"/>
  </r>
  <r>
    <x v="13"/>
    <d v="2016-03-20T00:00:00"/>
    <s v="Sunday"/>
    <n v="10330"/>
    <n v="7.4099998474121103"/>
    <n v="3728"/>
  </r>
  <r>
    <x v="13"/>
    <d v="2016-03-21T00:00:00"/>
    <s v="Monday"/>
    <n v="8778"/>
    <n v="6.28999996185303"/>
    <n v="3348"/>
  </r>
  <r>
    <x v="13"/>
    <d v="2016-03-22T00:00:00"/>
    <s v="Tuesday"/>
    <n v="6662"/>
    <n v="4.7800002098083496"/>
    <n v="3162"/>
  </r>
  <r>
    <x v="13"/>
    <d v="2016-03-23T00:00:00"/>
    <s v="Wednesday"/>
    <n v="6309"/>
    <n v="4.5199999809265101"/>
    <n v="3140"/>
  </r>
  <r>
    <x v="13"/>
    <d v="2016-03-24T00:00:00"/>
    <s v="Thursday"/>
    <n v="1951"/>
    <n v="1.4099999666214"/>
    <n v="1980"/>
  </r>
  <r>
    <x v="13"/>
    <d v="2016-03-25T00:00:00"/>
    <s v="Friday"/>
    <n v="5563"/>
    <n v="3.9900000095367401"/>
    <n v="3681"/>
  </r>
  <r>
    <x v="13"/>
    <d v="2016-03-26T00:00:00"/>
    <s v="Saturday"/>
    <n v="4370"/>
    <n v="3.1300001144409202"/>
    <n v="3444"/>
  </r>
  <r>
    <x v="13"/>
    <d v="2016-03-27T00:00:00"/>
    <s v="Sunday"/>
    <n v="7144"/>
    <n v="5.1199998855590803"/>
    <n v="3510"/>
  </r>
  <r>
    <x v="13"/>
    <d v="2016-03-28T00:00:00"/>
    <s v="Monday"/>
    <n v="2106"/>
    <n v="1.5099999904632599"/>
    <n v="4010"/>
  </r>
  <r>
    <x v="13"/>
    <d v="2016-03-29T00:00:00"/>
    <s v="Tuesday"/>
    <n v="4152"/>
    <n v="2.9800000190734899"/>
    <n v="2976"/>
  </r>
  <r>
    <x v="13"/>
    <d v="2016-03-30T00:00:00"/>
    <s v="Wednesday"/>
    <n v="5400"/>
    <n v="3.8699998855590798"/>
    <n v="3418"/>
  </r>
  <r>
    <x v="13"/>
    <d v="2016-03-31T00:00:00"/>
    <s v="Thursday"/>
    <n v="7428"/>
    <n v="5.3299999237060502"/>
    <n v="3439"/>
  </r>
  <r>
    <x v="13"/>
    <d v="2016-04-01T00:00:00"/>
    <s v="Friday"/>
    <n v="5351"/>
    <n v="3.8399999141693102"/>
    <n v="3338"/>
  </r>
  <r>
    <x v="13"/>
    <d v="2016-04-02T00:00:00"/>
    <s v="Saturday"/>
    <n v="4299"/>
    <n v="3.0999999046325701"/>
    <n v="2892"/>
  </r>
  <r>
    <x v="13"/>
    <d v="2016-04-03T00:00:00"/>
    <s v="Sunday"/>
    <n v="6107"/>
    <n v="4.3800001144409197"/>
    <n v="3313"/>
  </r>
  <r>
    <x v="13"/>
    <d v="2016-04-04T00:00:00"/>
    <s v="Monday"/>
    <n v="6429"/>
    <n v="4.5999999046325701"/>
    <n v="3118"/>
  </r>
  <r>
    <x v="13"/>
    <d v="2016-04-05T00:00:00"/>
    <s v="Tuesday"/>
    <n v="6880"/>
    <n v="4.9299998283386204"/>
    <n v="2966"/>
  </r>
  <r>
    <x v="13"/>
    <d v="2016-04-06T00:00:00"/>
    <s v="Wednesday"/>
    <n v="7476"/>
    <n v="5.3600001335143999"/>
    <n v="3253"/>
  </r>
  <r>
    <x v="13"/>
    <d v="2016-04-07T00:00:00"/>
    <s v="Thursday"/>
    <n v="6581"/>
    <n v="4.7199997901916504"/>
    <n v="3032"/>
  </r>
  <r>
    <x v="13"/>
    <d v="2016-04-08T00:00:00"/>
    <s v="Friday"/>
    <n v="10480"/>
    <n v="7.5100002288818404"/>
    <n v="4034"/>
  </r>
  <r>
    <x v="13"/>
    <d v="2016-04-09T00:00:00"/>
    <s v="Saturday"/>
    <n v="7734"/>
    <n v="5.5500001907348597"/>
    <n v="3264"/>
  </r>
  <r>
    <x v="13"/>
    <d v="2016-04-10T00:00:00"/>
    <s v="Sunday"/>
    <n v="5129"/>
    <n v="3.6800000667571999"/>
    <n v="2817"/>
  </r>
  <r>
    <x v="13"/>
    <d v="2016-04-11T00:00:00"/>
    <s v="Monday"/>
    <n v="2993"/>
    <n v="2.1500000953674299"/>
    <n v="2507"/>
  </r>
  <r>
    <x v="13"/>
    <d v="2016-04-12T00:00:00"/>
    <s v="Tuesday"/>
    <n v="8"/>
    <n v="9.9999997764825804E-3"/>
    <n v="446"/>
  </r>
  <r>
    <x v="14"/>
    <d v="2016-03-12T00:00:00"/>
    <s v="Saturday"/>
    <n v="0"/>
    <n v="0"/>
    <n v="1777"/>
  </r>
  <r>
    <x v="14"/>
    <d v="2016-03-13T00:00:00"/>
    <s v="Sunday"/>
    <n v="0"/>
    <n v="0"/>
    <n v="1777"/>
  </r>
  <r>
    <x v="14"/>
    <d v="2016-03-14T00:00:00"/>
    <s v="Monday"/>
    <n v="8433"/>
    <n v="6.2300000190734899"/>
    <n v="2453"/>
  </r>
  <r>
    <x v="14"/>
    <d v="2016-03-15T00:00:00"/>
    <s v="Tuesday"/>
    <n v="0"/>
    <n v="0"/>
    <n v="1776"/>
  </r>
  <r>
    <x v="14"/>
    <d v="2016-03-16T00:00:00"/>
    <s v="Wednesday"/>
    <n v="2139"/>
    <n v="1.5599999427795399"/>
    <n v="1935"/>
  </r>
  <r>
    <x v="14"/>
    <d v="2016-03-17T00:00:00"/>
    <s v="Thursday"/>
    <n v="0"/>
    <n v="0"/>
    <n v="1776"/>
  </r>
  <r>
    <x v="14"/>
    <d v="2016-03-18T00:00:00"/>
    <s v="Friday"/>
    <n v="949"/>
    <n v="0.68999999761581399"/>
    <n v="1870"/>
  </r>
  <r>
    <x v="14"/>
    <d v="2016-03-19T00:00:00"/>
    <s v="Saturday"/>
    <n v="0"/>
    <n v="0"/>
    <n v="1777"/>
  </r>
  <r>
    <x v="14"/>
    <d v="2016-03-20T00:00:00"/>
    <s v="Sunday"/>
    <n v="44"/>
    <n v="2.9999999329447701E-2"/>
    <n v="1782"/>
  </r>
  <r>
    <x v="14"/>
    <d v="2016-03-21T00:00:00"/>
    <s v="Monday"/>
    <n v="2660"/>
    <n v="1.9400000572204601"/>
    <n v="1978"/>
  </r>
  <r>
    <x v="14"/>
    <d v="2016-03-22T00:00:00"/>
    <s v="Tuesday"/>
    <n v="5561"/>
    <n v="4.1900000572204599"/>
    <n v="2296"/>
  </r>
  <r>
    <x v="14"/>
    <d v="2016-03-23T00:00:00"/>
    <s v="Wednesday"/>
    <n v="7239"/>
    <n v="5.3400001525878897"/>
    <n v="2484"/>
  </r>
  <r>
    <x v="14"/>
    <d v="2016-03-24T00:00:00"/>
    <s v="Thursday"/>
    <n v="7"/>
    <n v="9.9999997764825804E-3"/>
    <n v="1787"/>
  </r>
  <r>
    <x v="14"/>
    <d v="2016-03-25T00:00:00"/>
    <s v="Friday"/>
    <n v="0"/>
    <n v="0"/>
    <n v="1776"/>
  </r>
  <r>
    <x v="14"/>
    <d v="2016-03-26T00:00:00"/>
    <s v="Saturday"/>
    <n v="0"/>
    <n v="0"/>
    <n v="1776"/>
  </r>
  <r>
    <x v="14"/>
    <d v="2016-03-27T00:00:00"/>
    <s v="Sunday"/>
    <n v="2275"/>
    <n v="1.6799999475479099"/>
    <n v="2005"/>
  </r>
  <r>
    <x v="14"/>
    <d v="2016-03-28T00:00:00"/>
    <s v="Monday"/>
    <n v="8"/>
    <n v="9.9999997764825804E-3"/>
    <n v="1778"/>
  </r>
  <r>
    <x v="14"/>
    <d v="2016-03-29T00:00:00"/>
    <s v="Tuesday"/>
    <n v="5137"/>
    <n v="3.7599999904632599"/>
    <n v="2293"/>
  </r>
  <r>
    <x v="14"/>
    <d v="2016-03-30T00:00:00"/>
    <s v="Wednesday"/>
    <n v="5419"/>
    <n v="4"/>
    <n v="2259"/>
  </r>
  <r>
    <x v="14"/>
    <d v="2016-03-31T00:00:00"/>
    <s v="Thursday"/>
    <n v="0"/>
    <n v="0"/>
    <n v="1776"/>
  </r>
  <r>
    <x v="14"/>
    <d v="2016-04-01T00:00:00"/>
    <s v="Friday"/>
    <n v="0"/>
    <n v="0"/>
    <n v="1776"/>
  </r>
  <r>
    <x v="14"/>
    <d v="2016-04-02T00:00:00"/>
    <s v="Saturday"/>
    <n v="0"/>
    <n v="0"/>
    <n v="1776"/>
  </r>
  <r>
    <x v="14"/>
    <d v="2016-04-03T00:00:00"/>
    <s v="Sunday"/>
    <n v="0"/>
    <n v="0"/>
    <n v="1776"/>
  </r>
  <r>
    <x v="14"/>
    <d v="2016-04-04T00:00:00"/>
    <s v="Monday"/>
    <n v="0"/>
    <n v="0"/>
    <n v="1776"/>
  </r>
  <r>
    <x v="14"/>
    <d v="2016-04-05T00:00:00"/>
    <s v="Tuesday"/>
    <n v="0"/>
    <n v="0"/>
    <n v="1776"/>
  </r>
  <r>
    <x v="14"/>
    <d v="2016-04-06T00:00:00"/>
    <s v="Wednesday"/>
    <n v="18"/>
    <n v="9.9999997764825804E-3"/>
    <n v="1780"/>
  </r>
  <r>
    <x v="14"/>
    <d v="2016-04-07T00:00:00"/>
    <s v="Thursday"/>
    <n v="4"/>
    <n v="0"/>
    <n v="1778"/>
  </r>
  <r>
    <x v="14"/>
    <d v="2016-04-08T00:00:00"/>
    <s v="Friday"/>
    <n v="8426"/>
    <n v="6.1599998474121103"/>
    <n v="2360"/>
  </r>
  <r>
    <x v="14"/>
    <d v="2016-04-09T00:00:00"/>
    <s v="Saturday"/>
    <n v="1650"/>
    <n v="1.21000003814697"/>
    <n v="1952"/>
  </r>
  <r>
    <x v="14"/>
    <d v="2016-04-10T00:00:00"/>
    <s v="Sunday"/>
    <n v="3434"/>
    <n v="2.5099999904632599"/>
    <n v="2101"/>
  </r>
  <r>
    <x v="14"/>
    <d v="2016-04-11T00:00:00"/>
    <s v="Monday"/>
    <n v="6801"/>
    <n v="4.9800000190734899"/>
    <n v="2393"/>
  </r>
  <r>
    <x v="14"/>
    <d v="2016-04-12T00:00:00"/>
    <s v="Tuesday"/>
    <n v="187"/>
    <n v="0.140000000596046"/>
    <n v="538"/>
  </r>
  <r>
    <x v="15"/>
    <d v="2016-03-29T00:00:00"/>
    <s v="Tuesday"/>
    <n v="5643"/>
    <n v="3.78999996185303"/>
    <n v="1958"/>
  </r>
  <r>
    <x v="15"/>
    <d v="2016-03-30T00:00:00"/>
    <s v="Wednesday"/>
    <n v="9043"/>
    <n v="6.0700001716613796"/>
    <n v="2141"/>
  </r>
  <r>
    <x v="15"/>
    <d v="2016-03-31T00:00:00"/>
    <s v="Thursday"/>
    <n v="8144"/>
    <n v="5.46000003814697"/>
    <n v="2129"/>
  </r>
  <r>
    <x v="15"/>
    <d v="2016-04-01T00:00:00"/>
    <s v="Friday"/>
    <n v="9343"/>
    <n v="6.2699999809265101"/>
    <n v="2216"/>
  </r>
  <r>
    <x v="15"/>
    <d v="2016-04-02T00:00:00"/>
    <s v="Saturday"/>
    <n v="8405"/>
    <n v="5.6599998474121103"/>
    <n v="2154"/>
  </r>
  <r>
    <x v="15"/>
    <d v="2016-04-03T00:00:00"/>
    <s v="Sunday"/>
    <n v="8223"/>
    <n v="5.5199999809265101"/>
    <n v="2178"/>
  </r>
  <r>
    <x v="15"/>
    <d v="2016-04-04T00:00:00"/>
    <s v="Monday"/>
    <n v="10067"/>
    <n v="6.7600002288818404"/>
    <n v="2308"/>
  </r>
  <r>
    <x v="15"/>
    <d v="2016-04-05T00:00:00"/>
    <s v="Tuesday"/>
    <n v="8359"/>
    <n v="5.6300001144409197"/>
    <n v="2201"/>
  </r>
  <r>
    <x v="15"/>
    <d v="2016-04-06T00:00:00"/>
    <s v="Wednesday"/>
    <n v="10946"/>
    <n v="7.3499999046325701"/>
    <n v="2341"/>
  </r>
  <r>
    <x v="15"/>
    <d v="2016-04-07T00:00:00"/>
    <s v="Thursday"/>
    <n v="9130"/>
    <n v="6.1500000953674299"/>
    <n v="2236"/>
  </r>
  <r>
    <x v="15"/>
    <d v="2016-04-08T00:00:00"/>
    <s v="Friday"/>
    <n v="6544"/>
    <n v="4.4099998474121103"/>
    <n v="2069"/>
  </r>
  <r>
    <x v="15"/>
    <d v="2016-04-09T00:00:00"/>
    <s v="Saturday"/>
    <n v="0"/>
    <n v="0"/>
    <n v="0"/>
  </r>
  <r>
    <x v="16"/>
    <d v="2016-03-29T00:00:00"/>
    <s v="Tuesday"/>
    <n v="0"/>
    <n v="0"/>
    <n v="1878"/>
  </r>
  <r>
    <x v="16"/>
    <d v="2016-03-30T00:00:00"/>
    <s v="Wednesday"/>
    <n v="0"/>
    <n v="0"/>
    <n v="1878"/>
  </r>
  <r>
    <x v="16"/>
    <d v="2016-03-31T00:00:00"/>
    <s v="Thursday"/>
    <n v="0"/>
    <n v="0"/>
    <n v="1878"/>
  </r>
  <r>
    <x v="16"/>
    <d v="2016-04-01T00:00:00"/>
    <s v="Friday"/>
    <n v="0"/>
    <n v="0"/>
    <n v="1878"/>
  </r>
  <r>
    <x v="16"/>
    <d v="2016-04-02T00:00:00"/>
    <s v="Saturday"/>
    <n v="0"/>
    <n v="0"/>
    <n v="1878"/>
  </r>
  <r>
    <x v="16"/>
    <d v="2016-04-03T00:00:00"/>
    <s v="Sunday"/>
    <n v="0"/>
    <n v="0"/>
    <n v="1878"/>
  </r>
  <r>
    <x v="16"/>
    <d v="2016-04-04T00:00:00"/>
    <s v="Monday"/>
    <n v="0"/>
    <n v="0"/>
    <n v="1878"/>
  </r>
  <r>
    <x v="16"/>
    <d v="2016-04-05T00:00:00"/>
    <s v="Tuesday"/>
    <n v="0"/>
    <n v="0"/>
    <n v="1296"/>
  </r>
  <r>
    <x v="17"/>
    <d v="2016-03-29T00:00:00"/>
    <s v="Tuesday"/>
    <n v="2303"/>
    <n v="1.54999995231628"/>
    <n v="2010"/>
  </r>
  <r>
    <x v="17"/>
    <d v="2016-03-30T00:00:00"/>
    <s v="Wednesday"/>
    <n v="2600"/>
    <n v="1.7400000095367401"/>
    <n v="2032"/>
  </r>
  <r>
    <x v="17"/>
    <d v="2016-03-31T00:00:00"/>
    <s v="Thursday"/>
    <n v="4804"/>
    <n v="3.2200000286102299"/>
    <n v="2227"/>
  </r>
  <r>
    <x v="17"/>
    <d v="2016-04-01T00:00:00"/>
    <s v="Friday"/>
    <n v="3271"/>
    <n v="2.1900000572204599"/>
    <n v="2133"/>
  </r>
  <r>
    <x v="17"/>
    <d v="2016-04-02T00:00:00"/>
    <s v="Saturday"/>
    <n v="5406"/>
    <n v="3.6300001144409202"/>
    <n v="2317"/>
  </r>
  <r>
    <x v="17"/>
    <d v="2016-04-03T00:00:00"/>
    <s v="Sunday"/>
    <n v="3146"/>
    <n v="2.1099998950958301"/>
    <n v="2058"/>
  </r>
  <r>
    <x v="17"/>
    <d v="2016-04-04T00:00:00"/>
    <s v="Monday"/>
    <n v="2422"/>
    <n v="1.62999999523163"/>
    <n v="1935"/>
  </r>
  <r>
    <x v="17"/>
    <d v="2016-04-05T00:00:00"/>
    <s v="Tuesday"/>
    <n v="4239"/>
    <n v="2.8399999141693102"/>
    <n v="2217"/>
  </r>
  <r>
    <x v="17"/>
    <d v="2016-04-06T00:00:00"/>
    <s v="Wednesday"/>
    <n v="6911"/>
    <n v="4.7800002098083496"/>
    <n v="2374"/>
  </r>
  <r>
    <x v="17"/>
    <d v="2016-04-07T00:00:00"/>
    <s v="Thursday"/>
    <n v="6667"/>
    <n v="4.6100001335143999"/>
    <n v="2335"/>
  </r>
  <r>
    <x v="17"/>
    <d v="2016-04-08T00:00:00"/>
    <s v="Friday"/>
    <n v="5543"/>
    <n v="3.7200000286102299"/>
    <n v="2303"/>
  </r>
  <r>
    <x v="17"/>
    <d v="2016-04-09T00:00:00"/>
    <s v="Saturday"/>
    <n v="4195"/>
    <n v="2.8099999427795401"/>
    <n v="2210"/>
  </r>
  <r>
    <x v="17"/>
    <d v="2016-04-10T00:00:00"/>
    <s v="Sunday"/>
    <n v="6625"/>
    <n v="4.4499998092651403"/>
    <n v="2424"/>
  </r>
  <r>
    <x v="17"/>
    <d v="2016-04-11T00:00:00"/>
    <s v="Monday"/>
    <n v="5986"/>
    <n v="4.1300001144409197"/>
    <n v="2297"/>
  </r>
  <r>
    <x v="17"/>
    <d v="2016-04-12T00:00:00"/>
    <s v="Tuesday"/>
    <n v="278"/>
    <n v="0.18999999761581399"/>
    <n v="745"/>
  </r>
  <r>
    <x v="18"/>
    <d v="2016-04-01T00:00:00"/>
    <s v="Friday"/>
    <n v="5336"/>
    <n v="3.5299999713897701"/>
    <n v="1902"/>
  </r>
  <r>
    <x v="18"/>
    <d v="2016-04-02T00:00:00"/>
    <s v="Saturday"/>
    <n v="3183"/>
    <n v="2.0999999046325701"/>
    <n v="1680"/>
  </r>
  <r>
    <x v="18"/>
    <d v="2016-04-03T00:00:00"/>
    <s v="Sunday"/>
    <n v="6176"/>
    <n v="4.0799999237060502"/>
    <n v="1901"/>
  </r>
  <r>
    <x v="18"/>
    <d v="2016-04-04T00:00:00"/>
    <s v="Monday"/>
    <n v="8205"/>
    <n v="5.4200000762939498"/>
    <n v="2078"/>
  </r>
  <r>
    <x v="18"/>
    <d v="2016-04-05T00:00:00"/>
    <s v="Tuesday"/>
    <n v="6799"/>
    <n v="4.4899997711181596"/>
    <n v="1876"/>
  </r>
  <r>
    <x v="18"/>
    <d v="2016-04-06T00:00:00"/>
    <s v="Wednesday"/>
    <n v="5668"/>
    <n v="3.75"/>
    <n v="1853"/>
  </r>
  <r>
    <x v="18"/>
    <d v="2016-04-07T00:00:00"/>
    <s v="Thursday"/>
    <n v="7998"/>
    <n v="5.28999996185303"/>
    <n v="2235"/>
  </r>
  <r>
    <x v="18"/>
    <d v="2016-04-08T00:00:00"/>
    <s v="Friday"/>
    <n v="4195"/>
    <n v="2.7699999809265101"/>
    <n v="1778"/>
  </r>
  <r>
    <x v="18"/>
    <d v="2016-04-09T00:00:00"/>
    <s v="Saturday"/>
    <n v="5512"/>
    <n v="3.6400001049041699"/>
    <n v="1882"/>
  </r>
  <r>
    <x v="18"/>
    <d v="2016-04-10T00:00:00"/>
    <s v="Sunday"/>
    <n v="6263"/>
    <n v="4.1399998664856001"/>
    <n v="1906"/>
  </r>
  <r>
    <x v="18"/>
    <d v="2016-04-11T00:00:00"/>
    <s v="Monday"/>
    <n v="8828"/>
    <n v="5.8400001525878897"/>
    <n v="2149"/>
  </r>
  <r>
    <x v="18"/>
    <d v="2016-04-12T00:00:00"/>
    <s v="Tuesday"/>
    <n v="1260"/>
    <n v="0.82999998331069902"/>
    <n v="722"/>
  </r>
  <r>
    <x v="19"/>
    <d v="2016-03-29T00:00:00"/>
    <s v="Tuesday"/>
    <n v="6506"/>
    <n v="5.2800002098083496"/>
    <n v="2886"/>
  </r>
  <r>
    <x v="19"/>
    <d v="2016-03-30T00:00:00"/>
    <s v="Wednesday"/>
    <n v="7583"/>
    <n v="6.1500000953674299"/>
    <n v="2915"/>
  </r>
  <r>
    <x v="19"/>
    <d v="2016-03-31T00:00:00"/>
    <s v="Thursday"/>
    <n v="6963"/>
    <n v="5.6500000953674299"/>
    <n v="2895"/>
  </r>
  <r>
    <x v="19"/>
    <d v="2016-04-01T00:00:00"/>
    <s v="Friday"/>
    <n v="7165"/>
    <n v="5.8099999427795401"/>
    <n v="2923"/>
  </r>
  <r>
    <x v="19"/>
    <d v="2016-04-02T00:00:00"/>
    <s v="Saturday"/>
    <n v="10328"/>
    <n v="8.3800001144409197"/>
    <n v="3323"/>
  </r>
  <r>
    <x v="19"/>
    <d v="2016-04-03T00:00:00"/>
    <s v="Sunday"/>
    <n v="12116"/>
    <n v="9.8299999237060494"/>
    <n v="3357"/>
  </r>
  <r>
    <x v="19"/>
    <d v="2016-04-04T00:00:00"/>
    <s v="Monday"/>
    <n v="7810"/>
    <n v="6.3600001335143999"/>
    <n v="2931"/>
  </r>
  <r>
    <x v="19"/>
    <d v="2016-04-05T00:00:00"/>
    <s v="Tuesday"/>
    <n v="6670"/>
    <n v="5.4099998474121103"/>
    <n v="2848"/>
  </r>
  <r>
    <x v="19"/>
    <d v="2016-04-06T00:00:00"/>
    <s v="Wednesday"/>
    <n v="7605"/>
    <n v="6.1799998283386204"/>
    <n v="2943"/>
  </r>
  <r>
    <x v="19"/>
    <d v="2016-04-07T00:00:00"/>
    <s v="Thursday"/>
    <n v="6585"/>
    <n v="5.3400001525878897"/>
    <n v="2822"/>
  </r>
  <r>
    <x v="19"/>
    <d v="2016-04-08T00:00:00"/>
    <s v="Friday"/>
    <n v="8184"/>
    <n v="6.6399998664856001"/>
    <n v="2981"/>
  </r>
  <r>
    <x v="19"/>
    <d v="2016-04-09T00:00:00"/>
    <s v="Saturday"/>
    <n v="14002"/>
    <n v="11.3599996566772"/>
    <n v="3597"/>
  </r>
  <r>
    <x v="19"/>
    <d v="2016-04-10T00:00:00"/>
    <s v="Sunday"/>
    <n v="11135"/>
    <n v="9.0299997329711896"/>
    <n v="3224"/>
  </r>
  <r>
    <x v="19"/>
    <d v="2016-04-11T00:00:00"/>
    <s v="Monday"/>
    <n v="6499"/>
    <n v="5.2699999809265101"/>
    <n v="2677"/>
  </r>
  <r>
    <x v="19"/>
    <d v="2016-04-12T00:00:00"/>
    <s v="Tuesday"/>
    <n v="0"/>
    <n v="0"/>
    <n v="0"/>
  </r>
  <r>
    <x v="20"/>
    <d v="2016-04-01T00:00:00"/>
    <s v="Friday"/>
    <n v="12409"/>
    <n v="8.1000003814697301"/>
    <n v="2142"/>
  </r>
  <r>
    <x v="20"/>
    <d v="2016-04-02T00:00:00"/>
    <s v="Saturday"/>
    <n v="2937"/>
    <n v="1.91999995708466"/>
    <n v="1615"/>
  </r>
  <r>
    <x v="20"/>
    <d v="2016-04-03T00:00:00"/>
    <s v="Sunday"/>
    <n v="1515"/>
    <n v="0.99000000953674305"/>
    <n v="1481"/>
  </r>
  <r>
    <x v="20"/>
    <d v="2016-04-04T00:00:00"/>
    <s v="Monday"/>
    <n v="8921"/>
    <n v="5.8800001144409197"/>
    <n v="1892"/>
  </r>
  <r>
    <x v="20"/>
    <d v="2016-04-05T00:00:00"/>
    <s v="Tuesday"/>
    <n v="11306"/>
    <n v="7.3800001144409197"/>
    <n v="2086"/>
  </r>
  <r>
    <x v="20"/>
    <d v="2016-04-06T00:00:00"/>
    <s v="Wednesday"/>
    <n v="12252"/>
    <n v="8"/>
    <n v="2044"/>
  </r>
  <r>
    <x v="20"/>
    <d v="2016-04-07T00:00:00"/>
    <s v="Thursday"/>
    <n v="15444"/>
    <n v="10.079999923706101"/>
    <n v="2249"/>
  </r>
  <r>
    <x v="20"/>
    <d v="2016-04-08T00:00:00"/>
    <s v="Friday"/>
    <n v="9938"/>
    <n v="6.4899997711181596"/>
    <n v="2019"/>
  </r>
  <r>
    <x v="20"/>
    <d v="2016-04-09T00:00:00"/>
    <s v="Saturday"/>
    <n v="4599"/>
    <n v="3"/>
    <n v="1692"/>
  </r>
  <r>
    <x v="20"/>
    <d v="2016-04-10T00:00:00"/>
    <s v="Sunday"/>
    <n v="5594"/>
    <n v="3.6500000953674299"/>
    <n v="1712"/>
  </r>
  <r>
    <x v="20"/>
    <d v="2016-04-11T00:00:00"/>
    <s v="Monday"/>
    <n v="11906"/>
    <n v="7.7699999809265101"/>
    <n v="2065"/>
  </r>
  <r>
    <x v="20"/>
    <d v="2016-04-12T00:00:00"/>
    <s v="Tuesday"/>
    <n v="3436"/>
    <n v="2.2400000095367401"/>
    <n v="633"/>
  </r>
  <r>
    <x v="21"/>
    <d v="2016-04-01T00:00:00"/>
    <s v="Friday"/>
    <n v="10461"/>
    <n v="7.8699998855590803"/>
    <n v="3625"/>
  </r>
  <r>
    <x v="21"/>
    <d v="2016-04-02T00:00:00"/>
    <s v="Saturday"/>
    <n v="14873"/>
    <n v="11.1099996566772"/>
    <n v="4430"/>
  </r>
  <r>
    <x v="21"/>
    <d v="2016-04-03T00:00:00"/>
    <s v="Sunday"/>
    <n v="9917"/>
    <n v="7.4099998474121103"/>
    <n v="3427"/>
  </r>
  <r>
    <x v="21"/>
    <d v="2016-04-04T00:00:00"/>
    <s v="Monday"/>
    <n v="7401"/>
    <n v="5.5599999427795401"/>
    <n v="3492"/>
  </r>
  <r>
    <x v="21"/>
    <d v="2016-04-05T00:00:00"/>
    <s v="Tuesday"/>
    <n v="8964"/>
    <n v="6.6999998092651403"/>
    <n v="3597"/>
  </r>
  <r>
    <x v="21"/>
    <d v="2016-04-06T00:00:00"/>
    <s v="Wednesday"/>
    <n v="11080"/>
    <n v="8.3000001907348597"/>
    <n v="3765"/>
  </r>
  <r>
    <x v="21"/>
    <d v="2016-04-07T00:00:00"/>
    <s v="Thursday"/>
    <n v="4499"/>
    <n v="3.3599998950958301"/>
    <n v="2775"/>
  </r>
  <r>
    <x v="21"/>
    <d v="2016-04-08T00:00:00"/>
    <s v="Friday"/>
    <n v="4363"/>
    <n v="3.2599999904632599"/>
    <n v="2486"/>
  </r>
  <r>
    <x v="21"/>
    <d v="2016-04-09T00:00:00"/>
    <s v="Saturday"/>
    <n v="10494"/>
    <n v="7.8400001525878897"/>
    <n v="3817"/>
  </r>
  <r>
    <x v="21"/>
    <d v="2016-04-10T00:00:00"/>
    <s v="Sunday"/>
    <n v="9776"/>
    <n v="7.3800001144409197"/>
    <n v="3378"/>
  </r>
  <r>
    <x v="21"/>
    <d v="2016-04-11T00:00:00"/>
    <s v="Monday"/>
    <n v="2862"/>
    <n v="2.1400001049041699"/>
    <n v="1511"/>
  </r>
  <r>
    <x v="22"/>
    <d v="2016-04-01T00:00:00"/>
    <s v="Friday"/>
    <n v="7444"/>
    <n v="5.6199998855590803"/>
    <n v="2210"/>
  </r>
  <r>
    <x v="22"/>
    <d v="2016-04-02T00:00:00"/>
    <s v="Saturday"/>
    <n v="19658"/>
    <n v="14.8400001525879"/>
    <n v="2884"/>
  </r>
  <r>
    <x v="22"/>
    <d v="2016-04-03T00:00:00"/>
    <s v="Sunday"/>
    <n v="0"/>
    <n v="0"/>
    <n v="1496"/>
  </r>
  <r>
    <x v="22"/>
    <d v="2016-04-04T00:00:00"/>
    <s v="Monday"/>
    <n v="8468"/>
    <n v="6.3899998664856001"/>
    <n v="2262"/>
  </r>
  <r>
    <x v="22"/>
    <d v="2016-04-05T00:00:00"/>
    <s v="Tuesday"/>
    <n v="9910"/>
    <n v="7.4800000190734899"/>
    <n v="2445"/>
  </r>
  <r>
    <x v="22"/>
    <d v="2016-04-06T00:00:00"/>
    <s v="Wednesday"/>
    <n v="12409"/>
    <n v="9.3699998855590803"/>
    <n v="2694"/>
  </r>
  <r>
    <x v="22"/>
    <d v="2016-04-07T00:00:00"/>
    <s v="Thursday"/>
    <n v="4853"/>
    <n v="3.6600000858306898"/>
    <n v="1903"/>
  </r>
  <r>
    <x v="22"/>
    <d v="2016-04-08T00:00:00"/>
    <s v="Friday"/>
    <n v="8955"/>
    <n v="6.7600002288818404"/>
    <n v="2482"/>
  </r>
  <r>
    <x v="22"/>
    <d v="2016-04-09T00:00:00"/>
    <s v="Saturday"/>
    <n v="10789"/>
    <n v="8.1499996185302699"/>
    <n v="2617"/>
  </r>
  <r>
    <x v="22"/>
    <d v="2016-04-10T00:00:00"/>
    <s v="Sunday"/>
    <n v="0"/>
    <n v="0"/>
    <n v="0"/>
  </r>
  <r>
    <x v="23"/>
    <d v="2016-04-01T00:00:00"/>
    <s v="Friday"/>
    <n v="6633"/>
    <n v="5.0100002288818404"/>
    <n v="2778"/>
  </r>
  <r>
    <x v="23"/>
    <d v="2016-04-02T00:00:00"/>
    <s v="Saturday"/>
    <n v="9548"/>
    <n v="7.2199997901916504"/>
    <n v="3119"/>
  </r>
  <r>
    <x v="23"/>
    <d v="2016-04-03T00:00:00"/>
    <s v="Sunday"/>
    <n v="0"/>
    <n v="0"/>
    <n v="2664"/>
  </r>
  <r>
    <x v="23"/>
    <d v="2016-04-04T00:00:00"/>
    <s v="Monday"/>
    <n v="0"/>
    <n v="0"/>
    <n v="2060"/>
  </r>
  <r>
    <x v="23"/>
    <d v="2016-04-05T00:00:00"/>
    <s v="Tuesday"/>
    <n v="0"/>
    <n v="0"/>
    <n v="2060"/>
  </r>
  <r>
    <x v="23"/>
    <d v="2016-04-06T00:00:00"/>
    <s v="Wednesday"/>
    <n v="0"/>
    <n v="0"/>
    <n v="2060"/>
  </r>
  <r>
    <x v="23"/>
    <d v="2016-04-07T00:00:00"/>
    <s v="Thursday"/>
    <n v="0"/>
    <n v="0"/>
    <n v="2060"/>
  </r>
  <r>
    <x v="23"/>
    <d v="2016-04-08T00:00:00"/>
    <s v="Friday"/>
    <n v="0"/>
    <n v="0"/>
    <n v="2060"/>
  </r>
  <r>
    <x v="23"/>
    <d v="2016-04-09T00:00:00"/>
    <s v="Saturday"/>
    <n v="0"/>
    <n v="0"/>
    <n v="2060"/>
  </r>
  <r>
    <x v="23"/>
    <d v="2016-04-10T00:00:00"/>
    <s v="Sunday"/>
    <n v="0"/>
    <n v="0"/>
    <n v="735"/>
  </r>
  <r>
    <x v="24"/>
    <d v="2016-04-01T00:00:00"/>
    <s v="Friday"/>
    <n v="0"/>
    <n v="0"/>
    <n v="1820"/>
  </r>
  <r>
    <x v="24"/>
    <d v="2016-04-02T00:00:00"/>
    <s v="Saturday"/>
    <n v="2101"/>
    <n v="2.0299999713897701"/>
    <n v="2224"/>
  </r>
  <r>
    <x v="24"/>
    <d v="2016-04-03T00:00:00"/>
    <s v="Sunday"/>
    <n v="0"/>
    <n v="0"/>
    <n v="1820"/>
  </r>
  <r>
    <x v="24"/>
    <d v="2016-04-04T00:00:00"/>
    <s v="Monday"/>
    <n v="0"/>
    <n v="0"/>
    <n v="1820"/>
  </r>
  <r>
    <x v="24"/>
    <d v="2016-04-05T00:00:00"/>
    <s v="Tuesday"/>
    <n v="9766"/>
    <n v="7.5100002288818404"/>
    <n v="2442"/>
  </r>
  <r>
    <x v="24"/>
    <d v="2016-04-06T00:00:00"/>
    <s v="Wednesday"/>
    <n v="165"/>
    <n v="0.129999995231628"/>
    <n v="1849"/>
  </r>
  <r>
    <x v="24"/>
    <d v="2016-04-07T00:00:00"/>
    <s v="Thursday"/>
    <n v="0"/>
    <n v="0"/>
    <n v="1822"/>
  </r>
  <r>
    <x v="24"/>
    <d v="2016-04-08T00:00:00"/>
    <s v="Friday"/>
    <n v="0"/>
    <n v="0"/>
    <n v="1820"/>
  </r>
  <r>
    <x v="24"/>
    <d v="2016-04-09T00:00:00"/>
    <s v="Saturday"/>
    <n v="0"/>
    <n v="0"/>
    <n v="251"/>
  </r>
  <r>
    <x v="25"/>
    <d v="2016-04-01T00:00:00"/>
    <s v="Friday"/>
    <n v="7225"/>
    <n v="5.1799998283386204"/>
    <n v="3065"/>
  </r>
  <r>
    <x v="25"/>
    <d v="2016-04-02T00:00:00"/>
    <s v="Saturday"/>
    <n v="1988"/>
    <n v="1.4299999475479099"/>
    <n v="2207"/>
  </r>
  <r>
    <x v="25"/>
    <d v="2016-04-03T00:00:00"/>
    <s v="Sunday"/>
    <n v="1577"/>
    <n v="1.12999999523163"/>
    <n v="1977"/>
  </r>
  <r>
    <x v="25"/>
    <d v="2016-04-04T00:00:00"/>
    <s v="Monday"/>
    <n v="0"/>
    <n v="0"/>
    <n v="1841"/>
  </r>
  <r>
    <x v="25"/>
    <d v="2016-04-05T00:00:00"/>
    <s v="Tuesday"/>
    <n v="9348"/>
    <n v="6.6999998092651403"/>
    <n v="4286"/>
  </r>
  <r>
    <x v="25"/>
    <d v="2016-04-06T00:00:00"/>
    <s v="Wednesday"/>
    <n v="11761"/>
    <n v="8.4300003051757795"/>
    <n v="3920"/>
  </r>
  <r>
    <x v="25"/>
    <d v="2016-04-07T00:00:00"/>
    <s v="Thursday"/>
    <n v="13987"/>
    <n v="10.0299997329712"/>
    <n v="3856"/>
  </r>
  <r>
    <x v="25"/>
    <d v="2016-04-08T00:00:00"/>
    <s v="Friday"/>
    <n v="4131"/>
    <n v="2.96000003814697"/>
    <n v="2584"/>
  </r>
  <r>
    <x v="25"/>
    <d v="2016-04-09T00:00:00"/>
    <s v="Saturday"/>
    <n v="14"/>
    <n v="9.9999997764825804E-3"/>
    <n v="787"/>
  </r>
  <r>
    <x v="26"/>
    <d v="2016-03-30T00:00:00"/>
    <s v="Wednesday"/>
    <n v="15491"/>
    <n v="10.2399997711182"/>
    <n v="2244"/>
  </r>
  <r>
    <x v="26"/>
    <d v="2016-03-31T00:00:00"/>
    <s v="Thursday"/>
    <n v="14097"/>
    <n v="9.3199996948242205"/>
    <n v="2188"/>
  </r>
  <r>
    <x v="26"/>
    <d v="2016-04-01T00:00:00"/>
    <s v="Friday"/>
    <n v="10467"/>
    <n v="6.9800000190734899"/>
    <n v="2014"/>
  </r>
  <r>
    <x v="26"/>
    <d v="2016-04-02T00:00:00"/>
    <s v="Saturday"/>
    <n v="12437"/>
    <n v="8.3000001907348597"/>
    <n v="2115"/>
  </r>
  <r>
    <x v="26"/>
    <d v="2016-04-03T00:00:00"/>
    <s v="Sunday"/>
    <n v="12307"/>
    <n v="8.1400003433227504"/>
    <n v="2055"/>
  </r>
  <r>
    <x v="26"/>
    <d v="2016-04-04T00:00:00"/>
    <s v="Monday"/>
    <n v="18952"/>
    <n v="12.800000190734901"/>
    <n v="2437"/>
  </r>
  <r>
    <x v="26"/>
    <d v="2016-04-05T00:00:00"/>
    <s v="Tuesday"/>
    <n v="12010"/>
    <n v="7.9400000572204599"/>
    <n v="2158"/>
  </r>
  <r>
    <x v="26"/>
    <d v="2016-04-06T00:00:00"/>
    <s v="Wednesday"/>
    <n v="12480"/>
    <n v="8.8599996566772496"/>
    <n v="2170"/>
  </r>
  <r>
    <x v="26"/>
    <d v="2016-04-07T00:00:00"/>
    <s v="Thursday"/>
    <n v="13417"/>
    <n v="9.6499996185302699"/>
    <n v="2244"/>
  </r>
  <r>
    <x v="26"/>
    <d v="2016-04-08T00:00:00"/>
    <s v="Friday"/>
    <n v="14400"/>
    <n v="10.8800001144409"/>
    <n v="2188"/>
  </r>
  <r>
    <x v="26"/>
    <d v="2016-04-09T00:00:00"/>
    <s v="Saturday"/>
    <n v="12495"/>
    <n v="8.2600002288818395"/>
    <n v="2231"/>
  </r>
  <r>
    <x v="26"/>
    <d v="2016-04-10T00:00:00"/>
    <s v="Sunday"/>
    <n v="10148"/>
    <n v="6.71000003814697"/>
    <n v="2100"/>
  </r>
  <r>
    <x v="26"/>
    <d v="2016-04-11T00:00:00"/>
    <s v="Monday"/>
    <n v="12362"/>
    <n v="9.0900001525878906"/>
    <n v="2188"/>
  </r>
  <r>
    <x v="26"/>
    <d v="2016-04-12T00:00:00"/>
    <s v="Tuesday"/>
    <n v="5893"/>
    <n v="3.9000000953674299"/>
    <n v="917"/>
  </r>
  <r>
    <x v="27"/>
    <d v="2016-04-01T00:00:00"/>
    <s v="Friday"/>
    <n v="11680"/>
    <n v="9.0600004196166992"/>
    <n v="2573"/>
  </r>
  <r>
    <x v="27"/>
    <d v="2016-04-02T00:00:00"/>
    <s v="Saturday"/>
    <n v="10976"/>
    <n v="7.3400001525878897"/>
    <n v="2575"/>
  </r>
  <r>
    <x v="27"/>
    <d v="2016-04-03T00:00:00"/>
    <s v="Sunday"/>
    <n v="16806"/>
    <n v="11.2399997711182"/>
    <n v="3086"/>
  </r>
  <r>
    <x v="27"/>
    <d v="2016-04-04T00:00:00"/>
    <s v="Monday"/>
    <n v="15266"/>
    <n v="11.3999996185303"/>
    <n v="2886"/>
  </r>
  <r>
    <x v="27"/>
    <d v="2016-04-05T00:00:00"/>
    <s v="Tuesday"/>
    <n v="12084"/>
    <n v="9.1400003433227504"/>
    <n v="2676"/>
  </r>
  <r>
    <x v="27"/>
    <d v="2016-04-06T00:00:00"/>
    <s v="Wednesday"/>
    <n v="13513"/>
    <n v="10.25"/>
    <n v="2811"/>
  </r>
  <r>
    <x v="27"/>
    <d v="2016-04-07T00:00:00"/>
    <s v="Thursday"/>
    <n v="14100"/>
    <n v="10.579999923706101"/>
    <n v="2840"/>
  </r>
  <r>
    <x v="27"/>
    <d v="2016-04-08T00:00:00"/>
    <s v="Friday"/>
    <n v="12627"/>
    <n v="9.6499996185302699"/>
    <n v="2871"/>
  </r>
  <r>
    <x v="27"/>
    <d v="2016-04-09T00:00:00"/>
    <s v="Saturday"/>
    <n v="10345"/>
    <n v="6.9200000762939498"/>
    <n v="2613"/>
  </r>
  <r>
    <x v="27"/>
    <d v="2016-04-10T00:00:00"/>
    <s v="Sunday"/>
    <n v="10146"/>
    <n v="6.78999996185303"/>
    <n v="2700"/>
  </r>
  <r>
    <x v="27"/>
    <d v="2016-04-11T00:00:00"/>
    <s v="Monday"/>
    <n v="12168"/>
    <n v="8.1400003433227504"/>
    <n v="2871"/>
  </r>
  <r>
    <x v="27"/>
    <d v="2016-04-12T00:00:00"/>
    <s v="Tuesday"/>
    <n v="7413"/>
    <n v="5.7699999809265101"/>
    <n v="1023"/>
  </r>
  <r>
    <x v="28"/>
    <d v="2016-04-01T00:00:00"/>
    <s v="Friday"/>
    <n v="11463"/>
    <n v="7.6700000762939498"/>
    <n v="2496"/>
  </r>
  <r>
    <x v="28"/>
    <d v="2016-04-02T00:00:00"/>
    <s v="Saturday"/>
    <n v="87"/>
    <n v="1.9999999552965199E-2"/>
    <n v="1641"/>
  </r>
  <r>
    <x v="28"/>
    <d v="2016-04-03T00:00:00"/>
    <s v="Sunday"/>
    <n v="1949"/>
    <n v="1.3099999427795399"/>
    <n v="1794"/>
  </r>
  <r>
    <x v="28"/>
    <d v="2016-04-04T00:00:00"/>
    <s v="Monday"/>
    <n v="6101"/>
    <n v="3.8699998855590798"/>
    <n v="2421"/>
  </r>
  <r>
    <x v="28"/>
    <d v="2016-04-05T00:00:00"/>
    <s v="Tuesday"/>
    <n v="7478"/>
    <n v="4.9899997711181596"/>
    <n v="2439"/>
  </r>
  <r>
    <x v="28"/>
    <d v="2016-04-06T00:00:00"/>
    <s v="Wednesday"/>
    <n v="7352"/>
    <n v="4.7300000190734899"/>
    <n v="2233"/>
  </r>
  <r>
    <x v="28"/>
    <d v="2016-04-07T00:00:00"/>
    <s v="Thursday"/>
    <n v="14604"/>
    <n v="10.819999694824199"/>
    <n v="2862"/>
  </r>
  <r>
    <x v="28"/>
    <d v="2016-04-08T00:00:00"/>
    <s v="Friday"/>
    <n v="9634"/>
    <n v="6.5199999809265101"/>
    <n v="2752"/>
  </r>
  <r>
    <x v="28"/>
    <d v="2016-04-09T00:00:00"/>
    <s v="Saturday"/>
    <n v="7338"/>
    <n v="4.6700000762939498"/>
    <n v="2519"/>
  </r>
  <r>
    <x v="28"/>
    <d v="2016-04-10T00:00:00"/>
    <s v="Sunday"/>
    <n v="569"/>
    <n v="0.34999999403953602"/>
    <n v="1799"/>
  </r>
  <r>
    <x v="28"/>
    <d v="2016-04-11T00:00:00"/>
    <s v="Monday"/>
    <n v="6242"/>
    <n v="3.9200000762939502"/>
    <n v="2543"/>
  </r>
  <r>
    <x v="28"/>
    <d v="2016-04-12T00:00:00"/>
    <s v="Tuesday"/>
    <n v="430"/>
    <n v="0.259999990463257"/>
    <n v="625"/>
  </r>
  <r>
    <x v="29"/>
    <d v="2016-04-02T00:00:00"/>
    <s v="Saturday"/>
    <n v="20188"/>
    <n v="15.6199998855591"/>
    <n v="3377"/>
  </r>
  <r>
    <x v="29"/>
    <d v="2016-04-03T00:00:00"/>
    <s v="Sunday"/>
    <n v="25701"/>
    <n v="20.139999389648398"/>
    <n v="3697"/>
  </r>
  <r>
    <x v="29"/>
    <d v="2016-04-04T00:00:00"/>
    <s v="Monday"/>
    <n v="17395"/>
    <n v="13.210000038146999"/>
    <n v="3209"/>
  </r>
  <r>
    <x v="29"/>
    <d v="2016-04-05T00:00:00"/>
    <s v="Tuesday"/>
    <n v="17167"/>
    <n v="13.4099998474121"/>
    <n v="3167"/>
  </r>
  <r>
    <x v="29"/>
    <d v="2016-04-06T00:00:00"/>
    <s v="Wednesday"/>
    <n v="16435"/>
    <n v="12.420000076293899"/>
    <n v="3122"/>
  </r>
  <r>
    <x v="29"/>
    <d v="2016-04-07T00:00:00"/>
    <s v="Thursday"/>
    <n v="17078"/>
    <n v="13.199999809265099"/>
    <n v="3176"/>
  </r>
  <r>
    <x v="29"/>
    <d v="2016-04-08T00:00:00"/>
    <s v="Friday"/>
    <n v="11693"/>
    <n v="9.5399999618530291"/>
    <n v="2790"/>
  </r>
  <r>
    <x v="29"/>
    <d v="2016-04-09T00:00:00"/>
    <s v="Saturday"/>
    <n v="11159"/>
    <n v="9.1400003433227504"/>
    <n v="2715"/>
  </r>
  <r>
    <x v="29"/>
    <d v="2016-04-10T00:00:00"/>
    <s v="Sunday"/>
    <n v="10118"/>
    <n v="7.7300000190734899"/>
    <n v="2684"/>
  </r>
  <r>
    <x v="29"/>
    <d v="2016-04-11T00:00:00"/>
    <s v="Monday"/>
    <n v="16064"/>
    <n v="12.7200002670288"/>
    <n v="3097"/>
  </r>
  <r>
    <x v="29"/>
    <d v="2016-04-12T00:00:00"/>
    <s v="Tuesday"/>
    <n v="290"/>
    <n v="0.20999999344348899"/>
    <n v="791"/>
  </r>
  <r>
    <x v="30"/>
    <d v="2016-04-01T00:00:00"/>
    <s v="Friday"/>
    <n v="0"/>
    <n v="0"/>
    <n v="1429"/>
  </r>
  <r>
    <x v="30"/>
    <d v="2016-04-02T00:00:00"/>
    <s v="Saturday"/>
    <n v="0"/>
    <n v="0"/>
    <n v="1429"/>
  </r>
  <r>
    <x v="30"/>
    <d v="2016-04-03T00:00:00"/>
    <s v="Sunday"/>
    <n v="0"/>
    <n v="0"/>
    <n v="1429"/>
  </r>
  <r>
    <x v="30"/>
    <d v="2016-04-04T00:00:00"/>
    <s v="Monday"/>
    <n v="0"/>
    <n v="0"/>
    <n v="1429"/>
  </r>
  <r>
    <x v="30"/>
    <d v="2016-04-05T00:00:00"/>
    <s v="Tuesday"/>
    <n v="0"/>
    <n v="0"/>
    <n v="1429"/>
  </r>
  <r>
    <x v="30"/>
    <d v="2016-04-06T00:00:00"/>
    <s v="Wednesday"/>
    <n v="1931"/>
    <n v="1.2799999713897701"/>
    <n v="1607"/>
  </r>
  <r>
    <x v="30"/>
    <d v="2016-04-07T00:00:00"/>
    <s v="Thursday"/>
    <n v="5181"/>
    <n v="3.4200000762939502"/>
    <n v="1776"/>
  </r>
  <r>
    <x v="30"/>
    <d v="2016-04-08T00:00:00"/>
    <s v="Friday"/>
    <n v="12026"/>
    <n v="9.1499996185302699"/>
    <n v="2162"/>
  </r>
  <r>
    <x v="30"/>
    <d v="2016-04-09T00:00:00"/>
    <s v="Saturday"/>
    <n v="5360"/>
    <n v="3.53999996185303"/>
    <n v="1832"/>
  </r>
  <r>
    <x v="30"/>
    <d v="2016-04-10T00:00:00"/>
    <s v="Sunday"/>
    <n v="2545"/>
    <n v="1.6799999475479099"/>
    <n v="1657"/>
  </r>
  <r>
    <x v="30"/>
    <d v="2016-04-11T00:00:00"/>
    <s v="Monday"/>
    <n v="1636"/>
    <n v="1.08000004291534"/>
    <n v="1377"/>
  </r>
  <r>
    <x v="30"/>
    <d v="2016-04-12T00:00:00"/>
    <s v="Tuesday"/>
    <n v="0"/>
    <n v="0"/>
    <n v="0"/>
  </r>
  <r>
    <x v="31"/>
    <d v="2016-04-01T00:00:00"/>
    <s v="Friday"/>
    <n v="14179"/>
    <n v="11.2399997711182"/>
    <n v="3669"/>
  </r>
  <r>
    <x v="31"/>
    <d v="2016-04-02T00:00:00"/>
    <s v="Saturday"/>
    <n v="3358"/>
    <n v="2.6600000858306898"/>
    <n v="2702"/>
  </r>
  <r>
    <x v="31"/>
    <d v="2016-04-03T00:00:00"/>
    <s v="Sunday"/>
    <n v="9152"/>
    <n v="7.2600002288818404"/>
    <n v="3304"/>
  </r>
  <r>
    <x v="31"/>
    <d v="2016-04-04T00:00:00"/>
    <s v="Monday"/>
    <n v="13935"/>
    <n v="11.050000190734901"/>
    <n v="4234"/>
  </r>
  <r>
    <x v="31"/>
    <d v="2016-04-05T00:00:00"/>
    <s v="Tuesday"/>
    <n v="12846"/>
    <n v="10.189999580383301"/>
    <n v="4128"/>
  </r>
  <r>
    <x v="31"/>
    <d v="2016-04-06T00:00:00"/>
    <s v="Wednesday"/>
    <n v="9124"/>
    <n v="7.2399997711181596"/>
    <n v="3798"/>
  </r>
  <r>
    <x v="31"/>
    <d v="2016-04-07T00:00:00"/>
    <s v="Thursday"/>
    <n v="9725"/>
    <n v="7.71000003814697"/>
    <n v="3839"/>
  </r>
  <r>
    <x v="31"/>
    <d v="2016-04-08T00:00:00"/>
    <s v="Friday"/>
    <n v="8350"/>
    <n v="6.6199998855590803"/>
    <n v="3713"/>
  </r>
  <r>
    <x v="31"/>
    <d v="2016-04-09T00:00:00"/>
    <s v="Saturday"/>
    <n v="2240"/>
    <n v="1.7799999713897701"/>
    <n v="2606"/>
  </r>
  <r>
    <x v="31"/>
    <d v="2016-04-10T00:00:00"/>
    <s v="Sunday"/>
    <n v="2631"/>
    <n v="2.0899999141693102"/>
    <n v="2624"/>
  </r>
  <r>
    <x v="31"/>
    <d v="2016-04-11T00:00:00"/>
    <s v="Monday"/>
    <n v="8837"/>
    <n v="7.0100002288818404"/>
    <n v="3775"/>
  </r>
  <r>
    <x v="31"/>
    <d v="2016-04-12T00:00:00"/>
    <s v="Tuesday"/>
    <n v="3246"/>
    <n v="2.5699999332428001"/>
    <n v="1882"/>
  </r>
  <r>
    <x v="32"/>
    <d v="2016-04-01T00:00:00"/>
    <s v="Friday"/>
    <n v="2174"/>
    <n v="1.70000004768372"/>
    <n v="2360"/>
  </r>
  <r>
    <x v="32"/>
    <d v="2016-04-02T00:00:00"/>
    <s v="Saturday"/>
    <n v="3494"/>
    <n v="2.7300000190734899"/>
    <n v="2517"/>
  </r>
  <r>
    <x v="32"/>
    <d v="2016-04-03T00:00:00"/>
    <s v="Sunday"/>
    <n v="2380"/>
    <n v="1.8600000143051101"/>
    <n v="2400"/>
  </r>
  <r>
    <x v="32"/>
    <d v="2016-04-04T00:00:00"/>
    <s v="Monday"/>
    <n v="3159"/>
    <n v="2.46000003814697"/>
    <n v="2462"/>
  </r>
  <r>
    <x v="32"/>
    <d v="2016-04-05T00:00:00"/>
    <s v="Tuesday"/>
    <n v="6835"/>
    <n v="5.3299999237060502"/>
    <n v="2786"/>
  </r>
  <r>
    <x v="32"/>
    <d v="2016-04-06T00:00:00"/>
    <s v="Wednesday"/>
    <n v="2098"/>
    <n v="1.6399999856948899"/>
    <n v="2354"/>
  </r>
  <r>
    <x v="32"/>
    <d v="2016-04-07T00:00:00"/>
    <s v="Thursday"/>
    <n v="2816"/>
    <n v="2.2000000476837198"/>
    <n v="2437"/>
  </r>
  <r>
    <x v="32"/>
    <d v="2016-04-08T00:00:00"/>
    <s v="Friday"/>
    <n v="1408"/>
    <n v="1.1000000238418599"/>
    <n v="1814"/>
  </r>
  <r>
    <x v="33"/>
    <d v="2016-04-01T00:00:00"/>
    <s v="Friday"/>
    <n v="4592"/>
    <n v="2.9400000572204599"/>
    <n v="2260"/>
  </r>
  <r>
    <x v="33"/>
    <d v="2016-04-02T00:00:00"/>
    <s v="Saturday"/>
    <n v="8452"/>
    <n v="5.4099998474121103"/>
    <n v="3004"/>
  </r>
  <r>
    <x v="33"/>
    <d v="2016-04-03T00:00:00"/>
    <s v="Sunday"/>
    <n v="7238"/>
    <n v="4.6300001144409197"/>
    <n v="2667"/>
  </r>
  <r>
    <x v="33"/>
    <d v="2016-04-04T00:00:00"/>
    <s v="Monday"/>
    <n v="3821"/>
    <n v="2.4500000476837198"/>
    <n v="2229"/>
  </r>
  <r>
    <x v="33"/>
    <d v="2016-04-05T00:00:00"/>
    <s v="Tuesday"/>
    <n v="2332"/>
    <n v="1.4900000095367401"/>
    <n v="2100"/>
  </r>
  <r>
    <x v="33"/>
    <d v="2016-04-06T00:00:00"/>
    <s v="Wednesday"/>
    <n v="2121"/>
    <n v="1.3600000143051101"/>
    <n v="2114"/>
  </r>
  <r>
    <x v="33"/>
    <d v="2016-04-07T00:00:00"/>
    <s v="Thursday"/>
    <n v="1291"/>
    <n v="0.82999998331069902"/>
    <n v="1961"/>
  </r>
  <r>
    <x v="33"/>
    <d v="2016-04-08T00:00:00"/>
    <s v="Friday"/>
    <n v="1467"/>
    <n v="0.93999999761581399"/>
    <n v="1953"/>
  </r>
  <r>
    <x v="33"/>
    <d v="2016-04-09T00:00:00"/>
    <s v="Saturday"/>
    <n v="1022"/>
    <n v="0.64999997615814198"/>
    <n v="1890"/>
  </r>
  <r>
    <x v="33"/>
    <d v="2016-04-10T00:00:00"/>
    <s v="Sunday"/>
    <n v="4605"/>
    <n v="2.9500000476837198"/>
    <n v="2253"/>
  </r>
  <r>
    <x v="33"/>
    <d v="2016-04-11T00:00:00"/>
    <s v="Monday"/>
    <n v="178"/>
    <n v="0.109999999403954"/>
    <n v="1725"/>
  </r>
  <r>
    <x v="33"/>
    <d v="2016-04-12T00:00:00"/>
    <s v="Tuesday"/>
    <n v="20"/>
    <n v="9.9999997764825804E-3"/>
    <n v="728"/>
  </r>
  <r>
    <x v="34"/>
    <d v="2016-04-01T00:00:00"/>
    <s v="Friday"/>
    <n v="18700"/>
    <n v="15.819999694824199"/>
    <n v="3527"/>
  </r>
  <r>
    <x v="34"/>
    <d v="2016-04-02T00:00:00"/>
    <s v="Saturday"/>
    <n v="27572"/>
    <n v="23.389999389648398"/>
    <n v="4220"/>
  </r>
  <r>
    <x v="34"/>
    <d v="2016-04-03T00:00:00"/>
    <s v="Sunday"/>
    <n v="15260"/>
    <n v="8.1899995803833008"/>
    <n v="3864"/>
  </r>
  <r>
    <x v="34"/>
    <d v="2016-04-04T00:00:00"/>
    <s v="Monday"/>
    <n v="20779"/>
    <n v="18.409999847412099"/>
    <n v="3662"/>
  </r>
  <r>
    <x v="34"/>
    <d v="2016-04-05T00:00:00"/>
    <s v="Tuesday"/>
    <n v="10695"/>
    <n v="8.1199998855590803"/>
    <n v="2834"/>
  </r>
  <r>
    <x v="34"/>
    <d v="2016-04-06T00:00:00"/>
    <s v="Wednesday"/>
    <n v="24136"/>
    <n v="20.909999847412099"/>
    <n v="4039"/>
  </r>
  <r>
    <x v="34"/>
    <d v="2016-04-07T00:00:00"/>
    <s v="Thursday"/>
    <n v="10910"/>
    <n v="8.4200000762939506"/>
    <n v="2947"/>
  </r>
  <r>
    <x v="34"/>
    <d v="2016-04-08T00:00:00"/>
    <s v="Friday"/>
    <n v="23014"/>
    <n v="20.389999389648398"/>
    <n v="4196"/>
  </r>
  <r>
    <x v="34"/>
    <d v="2016-04-09T00:00:00"/>
    <s v="Saturday"/>
    <n v="16470"/>
    <n v="8.0699996948242205"/>
    <n v="3841"/>
  </r>
  <r>
    <x v="34"/>
    <d v="2016-04-10T00:00:00"/>
    <s v="Sunday"/>
    <n v="28497"/>
    <n v="27.530000686645501"/>
    <n v="4526"/>
  </r>
  <r>
    <x v="34"/>
    <d v="2016-04-11T00:00:00"/>
    <s v="Monday"/>
    <n v="10622"/>
    <n v="8.0600004196166992"/>
    <n v="2820"/>
  </r>
  <r>
    <x v="34"/>
    <d v="2016-04-12T00:00:00"/>
    <s v="Tuesday"/>
    <n v="2350"/>
    <n v="1.7799999713897701"/>
    <n v="9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57">
  <r>
    <x v="0"/>
    <d v="2016-03-25T00:00:00"/>
    <s v="Friday"/>
    <x v="0"/>
    <n v="7.1100001335143999"/>
    <x v="0"/>
    <x v="0"/>
  </r>
  <r>
    <x v="0"/>
    <d v="2016-03-26T00:00:00"/>
    <s v="Saturday"/>
    <x v="1"/>
    <n v="11.550000190734901"/>
    <x v="1"/>
    <x v="0"/>
  </r>
  <r>
    <x v="0"/>
    <d v="2016-03-27T00:00:00"/>
    <s v="Sunday"/>
    <x v="2"/>
    <n v="8.5299997329711896"/>
    <x v="2"/>
    <x v="0"/>
  </r>
  <r>
    <x v="0"/>
    <d v="2016-03-28T00:00:00"/>
    <s v="Monday"/>
    <x v="3"/>
    <n v="8.9300003051757795"/>
    <x v="3"/>
    <x v="0"/>
  </r>
  <r>
    <x v="0"/>
    <d v="2016-03-29T00:00:00"/>
    <s v="Tuesday"/>
    <x v="4"/>
    <n v="7.8499999046325701"/>
    <x v="4"/>
    <x v="0"/>
  </r>
  <r>
    <x v="0"/>
    <d v="2016-03-30T00:00:00"/>
    <s v="Wednesday"/>
    <x v="5"/>
    <n v="7.1599998474121103"/>
    <x v="5"/>
    <x v="0"/>
  </r>
  <r>
    <x v="0"/>
    <d v="2016-03-31T00:00:00"/>
    <s v="Thursday"/>
    <x v="6"/>
    <n v="7.8600001335143999"/>
    <x v="6"/>
    <x v="0"/>
  </r>
  <r>
    <x v="0"/>
    <d v="2016-04-01T00:00:00"/>
    <s v="Friday"/>
    <x v="7"/>
    <n v="7.8699998855590803"/>
    <x v="7"/>
    <x v="0"/>
  </r>
  <r>
    <x v="0"/>
    <d v="2016-04-02T00:00:00"/>
    <s v="Saturday"/>
    <x v="8"/>
    <n v="7.25"/>
    <x v="8"/>
    <x v="0"/>
  </r>
  <r>
    <x v="0"/>
    <d v="2016-04-03T00:00:00"/>
    <s v="Sunday"/>
    <x v="9"/>
    <n v="6.3699998855590803"/>
    <x v="9"/>
    <x v="0"/>
  </r>
  <r>
    <x v="0"/>
    <d v="2016-04-04T00:00:00"/>
    <s v="Monday"/>
    <x v="10"/>
    <n v="9.8000001907348597"/>
    <x v="10"/>
    <x v="0"/>
  </r>
  <r>
    <x v="0"/>
    <d v="2016-04-05T00:00:00"/>
    <s v="Tuesday"/>
    <x v="11"/>
    <n v="9.7299995422363299"/>
    <x v="11"/>
    <x v="0"/>
  </r>
  <r>
    <x v="0"/>
    <d v="2016-04-06T00:00:00"/>
    <s v="Wednesday"/>
    <x v="12"/>
    <n v="7.6700000762939498"/>
    <x v="12"/>
    <x v="0"/>
  </r>
  <r>
    <x v="0"/>
    <d v="2016-04-07T00:00:00"/>
    <s v="Thursday"/>
    <x v="13"/>
    <n v="6.4400000572204599"/>
    <x v="13"/>
    <x v="0"/>
  </r>
  <r>
    <x v="0"/>
    <d v="2016-04-08T00:00:00"/>
    <s v="Friday"/>
    <x v="14"/>
    <n v="7.9400000572204599"/>
    <x v="14"/>
    <x v="0"/>
  </r>
  <r>
    <x v="0"/>
    <d v="2016-04-09T00:00:00"/>
    <s v="Saturday"/>
    <x v="15"/>
    <n v="8.1000003814697301"/>
    <x v="15"/>
    <x v="0"/>
  </r>
  <r>
    <x v="0"/>
    <d v="2016-04-10T00:00:00"/>
    <s v="Sunday"/>
    <x v="16"/>
    <n v="6.9800000190734899"/>
    <x v="13"/>
    <x v="0"/>
  </r>
  <r>
    <x v="0"/>
    <d v="2016-04-11T00:00:00"/>
    <s v="Monday"/>
    <x v="17"/>
    <n v="7.2600002288818404"/>
    <x v="16"/>
    <x v="0"/>
  </r>
  <r>
    <x v="0"/>
    <d v="2016-04-12T00:00:00"/>
    <s v="Tuesday"/>
    <x v="18"/>
    <n v="0.140000000596046"/>
    <x v="17"/>
    <x v="1"/>
  </r>
  <r>
    <x v="1"/>
    <d v="2016-03-25T00:00:00"/>
    <s v="Friday"/>
    <x v="19"/>
    <n v="1.1799999475479099"/>
    <x v="18"/>
    <x v="1"/>
  </r>
  <r>
    <x v="1"/>
    <d v="2016-03-26T00:00:00"/>
    <s v="Saturday"/>
    <x v="20"/>
    <n v="0.52999997138977095"/>
    <x v="19"/>
    <x v="1"/>
  </r>
  <r>
    <x v="1"/>
    <d v="2016-03-27T00:00:00"/>
    <s v="Sunday"/>
    <x v="21"/>
    <n v="1.28999996185303"/>
    <x v="20"/>
    <x v="1"/>
  </r>
  <r>
    <x v="1"/>
    <d v="2016-03-28T00:00:00"/>
    <s v="Monday"/>
    <x v="22"/>
    <n v="1.2400000095367401"/>
    <x v="21"/>
    <x v="1"/>
  </r>
  <r>
    <x v="1"/>
    <d v="2016-03-29T00:00:00"/>
    <s v="Tuesday"/>
    <x v="23"/>
    <n v="1.0099999904632599"/>
    <x v="22"/>
    <x v="1"/>
  </r>
  <r>
    <x v="1"/>
    <d v="2016-03-30T00:00:00"/>
    <s v="Wednesday"/>
    <x v="24"/>
    <n v="1.0900000333786"/>
    <x v="23"/>
    <x v="1"/>
  </r>
  <r>
    <x v="1"/>
    <d v="2016-03-31T00:00:00"/>
    <s v="Thursday"/>
    <x v="25"/>
    <n v="2.9300000667571999"/>
    <x v="24"/>
    <x v="1"/>
  </r>
  <r>
    <x v="1"/>
    <d v="2016-04-01T00:00:00"/>
    <s v="Friday"/>
    <x v="26"/>
    <n v="5.9899997711181596"/>
    <x v="25"/>
    <x v="2"/>
  </r>
  <r>
    <x v="1"/>
    <d v="2016-04-02T00:00:00"/>
    <s v="Saturday"/>
    <x v="27"/>
    <n v="1.0099999904632599"/>
    <x v="26"/>
    <x v="1"/>
  </r>
  <r>
    <x v="1"/>
    <d v="2016-04-03T00:00:00"/>
    <s v="Sunday"/>
    <x v="28"/>
    <n v="1.8899999856948899"/>
    <x v="27"/>
    <x v="1"/>
  </r>
  <r>
    <x v="1"/>
    <d v="2016-04-04T00:00:00"/>
    <s v="Monday"/>
    <x v="29"/>
    <n v="12"/>
    <x v="28"/>
    <x v="0"/>
  </r>
  <r>
    <x v="1"/>
    <d v="2016-04-05T00:00:00"/>
    <s v="Tuesday"/>
    <x v="30"/>
    <n v="0.87000000476837203"/>
    <x v="29"/>
    <x v="1"/>
  </r>
  <r>
    <x v="1"/>
    <d v="2016-04-06T00:00:00"/>
    <s v="Wednesday"/>
    <x v="31"/>
    <n v="0.64999997615814198"/>
    <x v="30"/>
    <x v="1"/>
  </r>
  <r>
    <x v="1"/>
    <d v="2016-04-07T00:00:00"/>
    <s v="Thursday"/>
    <x v="32"/>
    <n v="0.72000002861022905"/>
    <x v="31"/>
    <x v="1"/>
  </r>
  <r>
    <x v="1"/>
    <d v="2016-04-08T00:00:00"/>
    <s v="Friday"/>
    <x v="33"/>
    <n v="4.1199998855590803"/>
    <x v="32"/>
    <x v="2"/>
  </r>
  <r>
    <x v="1"/>
    <d v="2016-04-09T00:00:00"/>
    <s v="Saturday"/>
    <x v="34"/>
    <n v="2.3199999332428001"/>
    <x v="33"/>
    <x v="1"/>
  </r>
  <r>
    <x v="1"/>
    <d v="2016-04-10T00:00:00"/>
    <s v="Sunday"/>
    <x v="35"/>
    <n v="2.53999996185303"/>
    <x v="34"/>
    <x v="1"/>
  </r>
  <r>
    <x v="1"/>
    <d v="2016-04-11T00:00:00"/>
    <s v="Monday"/>
    <x v="36"/>
    <n v="6.5"/>
    <x v="35"/>
    <x v="2"/>
  </r>
  <r>
    <x v="1"/>
    <d v="2016-04-12T00:00:00"/>
    <s v="Tuesday"/>
    <x v="37"/>
    <n v="4.3099999427795401"/>
    <x v="36"/>
    <x v="2"/>
  </r>
  <r>
    <x v="2"/>
    <d v="2016-04-01T00:00:00"/>
    <s v="Friday"/>
    <x v="38"/>
    <n v="3.4100000858306898"/>
    <x v="37"/>
    <x v="1"/>
  </r>
  <r>
    <x v="2"/>
    <d v="2016-04-02T00:00:00"/>
    <s v="Saturday"/>
    <x v="39"/>
    <n v="14.710000038146999"/>
    <x v="38"/>
    <x v="0"/>
  </r>
  <r>
    <x v="2"/>
    <d v="2016-04-03T00:00:00"/>
    <s v="Sunday"/>
    <x v="40"/>
    <n v="9.4099998474121094"/>
    <x v="39"/>
    <x v="0"/>
  </r>
  <r>
    <x v="2"/>
    <d v="2016-04-04T00:00:00"/>
    <s v="Monday"/>
    <x v="41"/>
    <n v="2.0499999523162802"/>
    <x v="40"/>
    <x v="1"/>
  </r>
  <r>
    <x v="2"/>
    <d v="2016-04-05T00:00:00"/>
    <s v="Tuesday"/>
    <x v="42"/>
    <n v="7.21000003814697"/>
    <x v="41"/>
    <x v="2"/>
  </r>
  <r>
    <x v="2"/>
    <d v="2016-04-06T00:00:00"/>
    <s v="Wednesday"/>
    <x v="43"/>
    <n v="5.8499999046325701"/>
    <x v="42"/>
    <x v="2"/>
  </r>
  <r>
    <x v="2"/>
    <d v="2016-04-07T00:00:00"/>
    <s v="Thursday"/>
    <x v="44"/>
    <n v="8.1199998855590803"/>
    <x v="43"/>
    <x v="0"/>
  </r>
  <r>
    <x v="2"/>
    <d v="2016-04-08T00:00:00"/>
    <s v="Friday"/>
    <x v="45"/>
    <n v="5.6999998092651403"/>
    <x v="44"/>
    <x v="2"/>
  </r>
  <r>
    <x v="2"/>
    <d v="2016-04-09T00:00:00"/>
    <s v="Saturday"/>
    <x v="46"/>
    <n v="10.060000419616699"/>
    <x v="45"/>
    <x v="0"/>
  </r>
  <r>
    <x v="2"/>
    <d v="2016-04-10T00:00:00"/>
    <s v="Sunday"/>
    <x v="47"/>
    <n v="0.97000002861022905"/>
    <x v="46"/>
    <x v="1"/>
  </r>
  <r>
    <x v="3"/>
    <d v="2016-04-01T00:00:00"/>
    <s v="Friday"/>
    <x v="48"/>
    <n v="4.5300002098083496"/>
    <x v="47"/>
    <x v="2"/>
  </r>
  <r>
    <x v="3"/>
    <d v="2016-04-02T00:00:00"/>
    <s v="Saturday"/>
    <x v="49"/>
    <n v="3.5499999523162802"/>
    <x v="6"/>
    <x v="2"/>
  </r>
  <r>
    <x v="3"/>
    <d v="2016-04-03T00:00:00"/>
    <s v="Sunday"/>
    <x v="50"/>
    <n v="1.87999999523163"/>
    <x v="48"/>
    <x v="1"/>
  </r>
  <r>
    <x v="3"/>
    <d v="2016-04-04T00:00:00"/>
    <s v="Monday"/>
    <x v="51"/>
    <n v="0"/>
    <x v="49"/>
    <x v="1"/>
  </r>
  <r>
    <x v="3"/>
    <d v="2016-04-05T00:00:00"/>
    <s v="Tuesday"/>
    <x v="51"/>
    <n v="0"/>
    <x v="49"/>
    <x v="1"/>
  </r>
  <r>
    <x v="3"/>
    <d v="2016-04-06T00:00:00"/>
    <s v="Wednesday"/>
    <x v="52"/>
    <n v="0"/>
    <x v="50"/>
    <x v="1"/>
  </r>
  <r>
    <x v="3"/>
    <d v="2016-04-07T00:00:00"/>
    <s v="Thursday"/>
    <x v="33"/>
    <n v="4.1900000572204599"/>
    <x v="51"/>
    <x v="2"/>
  </r>
  <r>
    <x v="3"/>
    <d v="2016-04-08T00:00:00"/>
    <s v="Friday"/>
    <x v="53"/>
    <n v="3.5099999904632599"/>
    <x v="52"/>
    <x v="2"/>
  </r>
  <r>
    <x v="3"/>
    <d v="2016-04-09T00:00:00"/>
    <s v="Saturday"/>
    <x v="54"/>
    <n v="3.28999996185303"/>
    <x v="53"/>
    <x v="1"/>
  </r>
  <r>
    <x v="3"/>
    <d v="2016-04-10T00:00:00"/>
    <s v="Sunday"/>
    <x v="55"/>
    <n v="4.3400001525878897"/>
    <x v="54"/>
    <x v="2"/>
  </r>
  <r>
    <x v="3"/>
    <d v="2016-04-11T00:00:00"/>
    <s v="Monday"/>
    <x v="56"/>
    <n v="3.5899999141693102"/>
    <x v="55"/>
    <x v="2"/>
  </r>
  <r>
    <x v="3"/>
    <d v="2016-04-12T00:00:00"/>
    <s v="Tuesday"/>
    <x v="51"/>
    <n v="0"/>
    <x v="56"/>
    <x v="1"/>
  </r>
  <r>
    <x v="4"/>
    <d v="2016-04-01T00:00:00"/>
    <s v="Friday"/>
    <x v="57"/>
    <n v="2.9900000095367401"/>
    <x v="57"/>
    <x v="1"/>
  </r>
  <r>
    <x v="4"/>
    <d v="2016-04-02T00:00:00"/>
    <s v="Saturday"/>
    <x v="58"/>
    <n v="3.9200000762939502"/>
    <x v="58"/>
    <x v="2"/>
  </r>
  <r>
    <x v="4"/>
    <d v="2016-04-03T00:00:00"/>
    <s v="Sunday"/>
    <x v="59"/>
    <n v="2.21000003814697"/>
    <x v="59"/>
    <x v="1"/>
  </r>
  <r>
    <x v="4"/>
    <d v="2016-04-04T00:00:00"/>
    <s v="Monday"/>
    <x v="60"/>
    <n v="1.62999999523163"/>
    <x v="60"/>
    <x v="1"/>
  </r>
  <r>
    <x v="4"/>
    <d v="2016-04-05T00:00:00"/>
    <s v="Tuesday"/>
    <x v="61"/>
    <n v="1.54999995231628"/>
    <x v="61"/>
    <x v="1"/>
  </r>
  <r>
    <x v="4"/>
    <d v="2016-04-06T00:00:00"/>
    <s v="Wednesday"/>
    <x v="62"/>
    <n v="0.87000000476837203"/>
    <x v="62"/>
    <x v="1"/>
  </r>
  <r>
    <x v="4"/>
    <d v="2016-04-07T00:00:00"/>
    <s v="Thursday"/>
    <x v="63"/>
    <n v="0.52999997138977095"/>
    <x v="63"/>
    <x v="1"/>
  </r>
  <r>
    <x v="4"/>
    <d v="2016-04-08T00:00:00"/>
    <s v="Friday"/>
    <x v="64"/>
    <n v="0.36000001430511502"/>
    <x v="64"/>
    <x v="1"/>
  </r>
  <r>
    <x v="4"/>
    <d v="2016-04-09T00:00:00"/>
    <s v="Saturday"/>
    <x v="65"/>
    <n v="1.75"/>
    <x v="65"/>
    <x v="1"/>
  </r>
  <r>
    <x v="4"/>
    <d v="2016-04-10T00:00:00"/>
    <s v="Sunday"/>
    <x v="66"/>
    <n v="1.46000003814697"/>
    <x v="66"/>
    <x v="1"/>
  </r>
  <r>
    <x v="4"/>
    <d v="2016-04-11T00:00:00"/>
    <s v="Monday"/>
    <x v="67"/>
    <n v="0.83999997377395597"/>
    <x v="67"/>
    <x v="1"/>
  </r>
  <r>
    <x v="4"/>
    <d v="2016-04-12T00:00:00"/>
    <s v="Tuesday"/>
    <x v="68"/>
    <n v="1.9999999552965199E-2"/>
    <x v="68"/>
    <x v="1"/>
  </r>
  <r>
    <x v="5"/>
    <d v="2016-04-01T00:00:00"/>
    <s v="Friday"/>
    <x v="69"/>
    <n v="9.6000003814697301"/>
    <x v="69"/>
    <x v="0"/>
  </r>
  <r>
    <x v="5"/>
    <d v="2016-04-02T00:00:00"/>
    <s v="Saturday"/>
    <x v="70"/>
    <n v="3.8399999141693102"/>
    <x v="70"/>
    <x v="2"/>
  </r>
  <r>
    <x v="5"/>
    <d v="2016-04-03T00:00:00"/>
    <s v="Sunday"/>
    <x v="71"/>
    <n v="7.8200001716613796"/>
    <x v="71"/>
    <x v="0"/>
  </r>
  <r>
    <x v="5"/>
    <d v="2016-04-04T00:00:00"/>
    <s v="Monday"/>
    <x v="72"/>
    <n v="11"/>
    <x v="72"/>
    <x v="0"/>
  </r>
  <r>
    <x v="5"/>
    <d v="2016-04-05T00:00:00"/>
    <s v="Tuesday"/>
    <x v="73"/>
    <n v="7.5900001525878897"/>
    <x v="73"/>
    <x v="0"/>
  </r>
  <r>
    <x v="5"/>
    <d v="2016-04-06T00:00:00"/>
    <s v="Wednesday"/>
    <x v="74"/>
    <n v="10.930000305175801"/>
    <x v="74"/>
    <x v="0"/>
  </r>
  <r>
    <x v="5"/>
    <d v="2016-04-07T00:00:00"/>
    <s v="Thursday"/>
    <x v="75"/>
    <n v="13.829999923706101"/>
    <x v="75"/>
    <x v="0"/>
  </r>
  <r>
    <x v="5"/>
    <d v="2016-04-08T00:00:00"/>
    <s v="Friday"/>
    <x v="76"/>
    <n v="9.2600002288818395"/>
    <x v="76"/>
    <x v="0"/>
  </r>
  <r>
    <x v="5"/>
    <d v="2016-04-09T00:00:00"/>
    <s v="Saturday"/>
    <x v="77"/>
    <n v="12.5900001525879"/>
    <x v="77"/>
    <x v="0"/>
  </r>
  <r>
    <x v="5"/>
    <d v="2016-04-10T00:00:00"/>
    <s v="Sunday"/>
    <x v="78"/>
    <n v="7.0199999809265101"/>
    <x v="78"/>
    <x v="0"/>
  </r>
  <r>
    <x v="5"/>
    <d v="2016-04-11T00:00:00"/>
    <s v="Monday"/>
    <x v="79"/>
    <n v="7.0900001525878897"/>
    <x v="79"/>
    <x v="0"/>
  </r>
  <r>
    <x v="5"/>
    <d v="2016-04-12T00:00:00"/>
    <s v="Tuesday"/>
    <x v="80"/>
    <n v="4.7199997901916504"/>
    <x v="80"/>
    <x v="2"/>
  </r>
  <r>
    <x v="6"/>
    <d v="2016-04-01T00:00:00"/>
    <s v="Friday"/>
    <x v="81"/>
    <n v="1.62000000476837"/>
    <x v="81"/>
    <x v="1"/>
  </r>
  <r>
    <x v="6"/>
    <d v="2016-04-02T00:00:00"/>
    <s v="Saturday"/>
    <x v="82"/>
    <n v="0.75999999046325695"/>
    <x v="82"/>
    <x v="1"/>
  </r>
  <r>
    <x v="6"/>
    <d v="2016-04-03T00:00:00"/>
    <s v="Sunday"/>
    <x v="83"/>
    <n v="1.4299999475479099"/>
    <x v="83"/>
    <x v="1"/>
  </r>
  <r>
    <x v="6"/>
    <d v="2016-04-04T00:00:00"/>
    <s v="Monday"/>
    <x v="84"/>
    <n v="4.1399998664856001"/>
    <x v="84"/>
    <x v="2"/>
  </r>
  <r>
    <x v="6"/>
    <d v="2016-04-05T00:00:00"/>
    <s v="Tuesday"/>
    <x v="85"/>
    <n v="3.5"/>
    <x v="85"/>
    <x v="2"/>
  </r>
  <r>
    <x v="6"/>
    <d v="2016-04-06T00:00:00"/>
    <s v="Wednesday"/>
    <x v="86"/>
    <n v="1.9700000286102299"/>
    <x v="86"/>
    <x v="1"/>
  </r>
  <r>
    <x v="6"/>
    <d v="2016-04-07T00:00:00"/>
    <s v="Thursday"/>
    <x v="87"/>
    <n v="1.7200000286102299"/>
    <x v="87"/>
    <x v="1"/>
  </r>
  <r>
    <x v="6"/>
    <d v="2016-04-08T00:00:00"/>
    <s v="Friday"/>
    <x v="88"/>
    <n v="2.3299999237060498"/>
    <x v="88"/>
    <x v="1"/>
  </r>
  <r>
    <x v="6"/>
    <d v="2016-04-09T00:00:00"/>
    <s v="Saturday"/>
    <x v="89"/>
    <n v="1.91999995708466"/>
    <x v="89"/>
    <x v="1"/>
  </r>
  <r>
    <x v="6"/>
    <d v="2016-04-10T00:00:00"/>
    <s v="Sunday"/>
    <x v="90"/>
    <n v="3.1900000572204599"/>
    <x v="90"/>
    <x v="2"/>
  </r>
  <r>
    <x v="6"/>
    <d v="2016-04-11T00:00:00"/>
    <s v="Monday"/>
    <x v="91"/>
    <n v="2.0299999713897701"/>
    <x v="91"/>
    <x v="1"/>
  </r>
  <r>
    <x v="6"/>
    <d v="2016-04-12T00:00:00"/>
    <s v="Tuesday"/>
    <x v="92"/>
    <n v="0.62999999523162797"/>
    <x v="92"/>
    <x v="1"/>
  </r>
  <r>
    <x v="7"/>
    <d v="2016-04-01T00:00:00"/>
    <s v="Friday"/>
    <x v="51"/>
    <n v="0"/>
    <x v="93"/>
    <x v="1"/>
  </r>
  <r>
    <x v="7"/>
    <d v="2016-04-02T00:00:00"/>
    <s v="Saturday"/>
    <x v="51"/>
    <n v="0"/>
    <x v="93"/>
    <x v="1"/>
  </r>
  <r>
    <x v="7"/>
    <d v="2016-04-03T00:00:00"/>
    <s v="Sunday"/>
    <x v="51"/>
    <n v="0"/>
    <x v="93"/>
    <x v="1"/>
  </r>
  <r>
    <x v="7"/>
    <d v="2016-04-04T00:00:00"/>
    <s v="Monday"/>
    <x v="51"/>
    <n v="0"/>
    <x v="93"/>
    <x v="1"/>
  </r>
  <r>
    <x v="7"/>
    <d v="2016-04-05T00:00:00"/>
    <s v="Tuesday"/>
    <x v="93"/>
    <n v="3.3199999332428001"/>
    <x v="94"/>
    <x v="1"/>
  </r>
  <r>
    <x v="7"/>
    <d v="2016-04-06T00:00:00"/>
    <s v="Wednesday"/>
    <x v="94"/>
    <n v="4.7199997901916504"/>
    <x v="95"/>
    <x v="2"/>
  </r>
  <r>
    <x v="7"/>
    <d v="2016-04-07T00:00:00"/>
    <s v="Thursday"/>
    <x v="95"/>
    <n v="1.2400000095367401"/>
    <x v="96"/>
    <x v="1"/>
  </r>
  <r>
    <x v="7"/>
    <d v="2016-04-08T00:00:00"/>
    <s v="Friday"/>
    <x v="96"/>
    <n v="2.2999999523162802"/>
    <x v="97"/>
    <x v="1"/>
  </r>
  <r>
    <x v="7"/>
    <d v="2016-04-09T00:00:00"/>
    <s v="Saturday"/>
    <x v="97"/>
    <n v="3.2799999713897701"/>
    <x v="98"/>
    <x v="1"/>
  </r>
  <r>
    <x v="7"/>
    <d v="2016-04-10T00:00:00"/>
    <s v="Sunday"/>
    <x v="98"/>
    <n v="1.5299999713897701"/>
    <x v="99"/>
    <x v="1"/>
  </r>
  <r>
    <x v="7"/>
    <d v="2016-04-11T00:00:00"/>
    <s v="Monday"/>
    <x v="99"/>
    <n v="7.6700000762939498"/>
    <x v="100"/>
    <x v="0"/>
  </r>
  <r>
    <x v="7"/>
    <d v="2016-04-12T00:00:00"/>
    <s v="Tuesday"/>
    <x v="100"/>
    <n v="1.4099999666214"/>
    <x v="101"/>
    <x v="1"/>
  </r>
  <r>
    <x v="8"/>
    <d v="2016-03-29T00:00:00"/>
    <s v="Tuesday"/>
    <x v="101"/>
    <n v="6.78999996185303"/>
    <x v="102"/>
    <x v="0"/>
  </r>
  <r>
    <x v="8"/>
    <d v="2016-03-30T00:00:00"/>
    <s v="Wednesday"/>
    <x v="102"/>
    <n v="7.0999999046325701"/>
    <x v="103"/>
    <x v="0"/>
  </r>
  <r>
    <x v="8"/>
    <d v="2016-03-31T00:00:00"/>
    <s v="Thursday"/>
    <x v="103"/>
    <n v="4.4699997901916504"/>
    <x v="104"/>
    <x v="2"/>
  </r>
  <r>
    <x v="8"/>
    <d v="2016-04-01T00:00:00"/>
    <s v="Friday"/>
    <x v="104"/>
    <n v="5.5100002288818404"/>
    <x v="105"/>
    <x v="2"/>
  </r>
  <r>
    <x v="8"/>
    <d v="2016-04-02T00:00:00"/>
    <s v="Saturday"/>
    <x v="105"/>
    <n v="10.2200002670288"/>
    <x v="106"/>
    <x v="0"/>
  </r>
  <r>
    <x v="8"/>
    <d v="2016-04-03T00:00:00"/>
    <s v="Sunday"/>
    <x v="106"/>
    <n v="4.9499998092651403"/>
    <x v="107"/>
    <x v="2"/>
  </r>
  <r>
    <x v="8"/>
    <d v="2016-04-04T00:00:00"/>
    <s v="Monday"/>
    <x v="107"/>
    <n v="6.8000001907348597"/>
    <x v="108"/>
    <x v="0"/>
  </r>
  <r>
    <x v="8"/>
    <d v="2016-04-05T00:00:00"/>
    <s v="Tuesday"/>
    <x v="108"/>
    <n v="6.8200001716613796"/>
    <x v="109"/>
    <x v="0"/>
  </r>
  <r>
    <x v="8"/>
    <d v="2016-04-06T00:00:00"/>
    <s v="Wednesday"/>
    <x v="109"/>
    <n v="7.3400001525878897"/>
    <x v="110"/>
    <x v="0"/>
  </r>
  <r>
    <x v="8"/>
    <d v="2016-04-07T00:00:00"/>
    <s v="Thursday"/>
    <x v="110"/>
    <n v="6.8499999046325701"/>
    <x v="111"/>
    <x v="0"/>
  </r>
  <r>
    <x v="8"/>
    <d v="2016-04-08T00:00:00"/>
    <s v="Friday"/>
    <x v="111"/>
    <n v="6.75"/>
    <x v="112"/>
    <x v="0"/>
  </r>
  <r>
    <x v="8"/>
    <d v="2016-04-09T00:00:00"/>
    <s v="Saturday"/>
    <x v="112"/>
    <n v="10.6300001144409"/>
    <x v="113"/>
    <x v="0"/>
  </r>
  <r>
    <x v="8"/>
    <d v="2016-04-10T00:00:00"/>
    <s v="Sunday"/>
    <x v="113"/>
    <n v="6.8299999237060502"/>
    <x v="114"/>
    <x v="0"/>
  </r>
  <r>
    <x v="8"/>
    <d v="2016-04-11T00:00:00"/>
    <s v="Monday"/>
    <x v="114"/>
    <n v="6.6100001335143999"/>
    <x v="115"/>
    <x v="0"/>
  </r>
  <r>
    <x v="8"/>
    <d v="2016-04-12T00:00:00"/>
    <s v="Tuesday"/>
    <x v="51"/>
    <n v="0"/>
    <x v="56"/>
    <x v="1"/>
  </r>
  <r>
    <x v="9"/>
    <d v="2016-04-01T00:00:00"/>
    <s v="Friday"/>
    <x v="115"/>
    <n v="0.60000002384185802"/>
    <x v="116"/>
    <x v="1"/>
  </r>
  <r>
    <x v="9"/>
    <d v="2016-04-02T00:00:00"/>
    <s v="Saturday"/>
    <x v="116"/>
    <n v="1.4900000095367401"/>
    <x v="117"/>
    <x v="1"/>
  </r>
  <r>
    <x v="9"/>
    <d v="2016-04-03T00:00:00"/>
    <s v="Sunday"/>
    <x v="117"/>
    <n v="5.1300001144409197"/>
    <x v="118"/>
    <x v="2"/>
  </r>
  <r>
    <x v="9"/>
    <d v="2016-04-04T00:00:00"/>
    <s v="Monday"/>
    <x v="118"/>
    <n v="6.5300002098083496"/>
    <x v="119"/>
    <x v="2"/>
  </r>
  <r>
    <x v="9"/>
    <d v="2016-04-05T00:00:00"/>
    <s v="Tuesday"/>
    <x v="119"/>
    <n v="5.6700000762939498"/>
    <x v="120"/>
    <x v="2"/>
  </r>
  <r>
    <x v="9"/>
    <d v="2016-04-06T00:00:00"/>
    <s v="Wednesday"/>
    <x v="120"/>
    <n v="4.9400000572204599"/>
    <x v="121"/>
    <x v="2"/>
  </r>
  <r>
    <x v="9"/>
    <d v="2016-04-07T00:00:00"/>
    <s v="Thursday"/>
    <x v="121"/>
    <n v="6.3099999427795401"/>
    <x v="107"/>
    <x v="2"/>
  </r>
  <r>
    <x v="9"/>
    <d v="2016-04-08T00:00:00"/>
    <s v="Friday"/>
    <x v="122"/>
    <n v="4.8099999427795401"/>
    <x v="2"/>
    <x v="2"/>
  </r>
  <r>
    <x v="9"/>
    <d v="2016-04-09T00:00:00"/>
    <s v="Saturday"/>
    <x v="123"/>
    <n v="9.5600004196166992"/>
    <x v="122"/>
    <x v="0"/>
  </r>
  <r>
    <x v="9"/>
    <d v="2016-04-10T00:00:00"/>
    <s v="Sunday"/>
    <x v="124"/>
    <n v="3.5499999523162802"/>
    <x v="123"/>
    <x v="2"/>
  </r>
  <r>
    <x v="9"/>
    <d v="2016-04-11T00:00:00"/>
    <s v="Monday"/>
    <x v="125"/>
    <n v="5.03999996185303"/>
    <x v="124"/>
    <x v="2"/>
  </r>
  <r>
    <x v="9"/>
    <d v="2016-04-12T00:00:00"/>
    <s v="Tuesday"/>
    <x v="51"/>
    <n v="0"/>
    <x v="125"/>
    <x v="1"/>
  </r>
  <r>
    <x v="10"/>
    <d v="2016-03-29T00:00:00"/>
    <s v="Tuesday"/>
    <x v="51"/>
    <n v="0"/>
    <x v="126"/>
    <x v="1"/>
  </r>
  <r>
    <x v="10"/>
    <d v="2016-03-30T00:00:00"/>
    <s v="Wednesday"/>
    <x v="51"/>
    <n v="0"/>
    <x v="126"/>
    <x v="1"/>
  </r>
  <r>
    <x v="10"/>
    <d v="2016-03-31T00:00:00"/>
    <s v="Thursday"/>
    <x v="51"/>
    <n v="0"/>
    <x v="126"/>
    <x v="1"/>
  </r>
  <r>
    <x v="10"/>
    <d v="2016-04-01T00:00:00"/>
    <s v="Friday"/>
    <x v="51"/>
    <n v="0"/>
    <x v="127"/>
    <x v="1"/>
  </r>
  <r>
    <x v="10"/>
    <d v="2016-04-02T00:00:00"/>
    <s v="Saturday"/>
    <x v="126"/>
    <n v="3.2200000286102299"/>
    <x v="128"/>
    <x v="1"/>
  </r>
  <r>
    <x v="10"/>
    <d v="2016-04-03T00:00:00"/>
    <s v="Sunday"/>
    <x v="51"/>
    <n v="0"/>
    <x v="126"/>
    <x v="1"/>
  </r>
  <r>
    <x v="10"/>
    <d v="2016-04-04T00:00:00"/>
    <s v="Monday"/>
    <x v="51"/>
    <n v="0"/>
    <x v="126"/>
    <x v="1"/>
  </r>
  <r>
    <x v="10"/>
    <d v="2016-04-05T00:00:00"/>
    <s v="Tuesday"/>
    <x v="127"/>
    <n v="1.6100000143051101"/>
    <x v="129"/>
    <x v="1"/>
  </r>
  <r>
    <x v="11"/>
    <d v="2016-04-01T00:00:00"/>
    <s v="Friday"/>
    <x v="128"/>
    <n v="3.9500000476837198"/>
    <x v="130"/>
    <x v="2"/>
  </r>
  <r>
    <x v="11"/>
    <d v="2016-04-02T00:00:00"/>
    <s v="Saturday"/>
    <x v="129"/>
    <n v="5.2300000190734899"/>
    <x v="131"/>
    <x v="2"/>
  </r>
  <r>
    <x v="11"/>
    <d v="2016-04-03T00:00:00"/>
    <s v="Sunday"/>
    <x v="130"/>
    <n v="3.21000003814697"/>
    <x v="132"/>
    <x v="1"/>
  </r>
  <r>
    <x v="11"/>
    <d v="2016-04-04T00:00:00"/>
    <s v="Monday"/>
    <x v="131"/>
    <n v="4.0199999809265101"/>
    <x v="133"/>
    <x v="2"/>
  </r>
  <r>
    <x v="11"/>
    <d v="2016-04-05T00:00:00"/>
    <s v="Tuesday"/>
    <x v="132"/>
    <n v="3.03999996185303"/>
    <x v="134"/>
    <x v="1"/>
  </r>
  <r>
    <x v="11"/>
    <d v="2016-04-06T00:00:00"/>
    <s v="Wednesday"/>
    <x v="133"/>
    <n v="4.3899998664856001"/>
    <x v="135"/>
    <x v="2"/>
  </r>
  <r>
    <x v="11"/>
    <d v="2016-04-07T00:00:00"/>
    <s v="Thursday"/>
    <x v="134"/>
    <n v="5.0999999046325701"/>
    <x v="136"/>
    <x v="2"/>
  </r>
  <r>
    <x v="11"/>
    <d v="2016-04-08T00:00:00"/>
    <s v="Friday"/>
    <x v="135"/>
    <n v="3.78999996185303"/>
    <x v="137"/>
    <x v="2"/>
  </r>
  <r>
    <x v="11"/>
    <d v="2016-04-09T00:00:00"/>
    <s v="Saturday"/>
    <x v="136"/>
    <n v="6.25"/>
    <x v="138"/>
    <x v="2"/>
  </r>
  <r>
    <x v="11"/>
    <d v="2016-04-10T00:00:00"/>
    <s v="Sunday"/>
    <x v="137"/>
    <n v="3.1800000667571999"/>
    <x v="30"/>
    <x v="1"/>
  </r>
  <r>
    <x v="12"/>
    <d v="2016-04-01T00:00:00"/>
    <s v="Friday"/>
    <x v="138"/>
    <n v="3.0099999904632599"/>
    <x v="139"/>
    <x v="1"/>
  </r>
  <r>
    <x v="12"/>
    <d v="2016-04-02T00:00:00"/>
    <s v="Saturday"/>
    <x v="139"/>
    <n v="5.0999999046325701"/>
    <x v="140"/>
    <x v="2"/>
  </r>
  <r>
    <x v="12"/>
    <d v="2016-04-03T00:00:00"/>
    <s v="Sunday"/>
    <x v="140"/>
    <n v="7.6999998092651403"/>
    <x v="141"/>
    <x v="0"/>
  </r>
  <r>
    <x v="12"/>
    <d v="2016-04-04T00:00:00"/>
    <s v="Monday"/>
    <x v="141"/>
    <n v="7.9899997711181596"/>
    <x v="142"/>
    <x v="0"/>
  </r>
  <r>
    <x v="12"/>
    <d v="2016-04-05T00:00:00"/>
    <s v="Tuesday"/>
    <x v="142"/>
    <n v="8.2299995422363299"/>
    <x v="143"/>
    <x v="0"/>
  </r>
  <r>
    <x v="12"/>
    <d v="2016-04-06T00:00:00"/>
    <s v="Wednesday"/>
    <x v="143"/>
    <n v="10.319999694824199"/>
    <x v="144"/>
    <x v="0"/>
  </r>
  <r>
    <x v="12"/>
    <d v="2016-04-07T00:00:00"/>
    <s v="Thursday"/>
    <x v="144"/>
    <n v="5.6300001144409197"/>
    <x v="145"/>
    <x v="2"/>
  </r>
  <r>
    <x v="12"/>
    <d v="2016-04-08T00:00:00"/>
    <s v="Friday"/>
    <x v="145"/>
    <n v="6.8400001525878897"/>
    <x v="146"/>
    <x v="0"/>
  </r>
  <r>
    <x v="12"/>
    <d v="2016-04-09T00:00:00"/>
    <s v="Saturday"/>
    <x v="146"/>
    <n v="9.7600002288818395"/>
    <x v="147"/>
    <x v="0"/>
  </r>
  <r>
    <x v="12"/>
    <d v="2016-04-10T00:00:00"/>
    <s v="Sunday"/>
    <x v="147"/>
    <n v="2.3900001049041699"/>
    <x v="148"/>
    <x v="1"/>
  </r>
  <r>
    <x v="12"/>
    <d v="2016-04-11T00:00:00"/>
    <s v="Monday"/>
    <x v="148"/>
    <n v="2.1400001049041699"/>
    <x v="149"/>
    <x v="1"/>
  </r>
  <r>
    <x v="12"/>
    <d v="2016-04-12T00:00:00"/>
    <s v="Tuesday"/>
    <x v="149"/>
    <n v="0.56999999284744296"/>
    <x v="150"/>
    <x v="1"/>
  </r>
  <r>
    <x v="13"/>
    <d v="2016-03-12T00:00:00"/>
    <s v="Saturday"/>
    <x v="150"/>
    <n v="3.9700000286102299"/>
    <x v="151"/>
    <x v="2"/>
  </r>
  <r>
    <x v="13"/>
    <d v="2016-03-13T00:00:00"/>
    <s v="Sunday"/>
    <x v="151"/>
    <n v="2.3099999427795401"/>
    <x v="152"/>
    <x v="1"/>
  </r>
  <r>
    <x v="13"/>
    <d v="2016-03-14T00:00:00"/>
    <s v="Monday"/>
    <x v="152"/>
    <n v="2.1700000762939502"/>
    <x v="153"/>
    <x v="1"/>
  </r>
  <r>
    <x v="13"/>
    <d v="2016-03-15T00:00:00"/>
    <s v="Tuesday"/>
    <x v="153"/>
    <n v="4.2300000190734899"/>
    <x v="154"/>
    <x v="2"/>
  </r>
  <r>
    <x v="13"/>
    <d v="2016-03-16T00:00:00"/>
    <s v="Wednesday"/>
    <x v="154"/>
    <n v="8.9899997711181605"/>
    <x v="155"/>
    <x v="0"/>
  </r>
  <r>
    <x v="13"/>
    <d v="2016-03-17T00:00:00"/>
    <s v="Thursday"/>
    <x v="155"/>
    <n v="6.4099998474121103"/>
    <x v="156"/>
    <x v="2"/>
  </r>
  <r>
    <x v="13"/>
    <d v="2016-03-18T00:00:00"/>
    <s v="Friday"/>
    <x v="156"/>
    <n v="0.259999990463257"/>
    <x v="157"/>
    <x v="1"/>
  </r>
  <r>
    <x v="13"/>
    <d v="2016-03-19T00:00:00"/>
    <s v="Saturday"/>
    <x v="157"/>
    <n v="4.0900001525878897"/>
    <x v="158"/>
    <x v="2"/>
  </r>
  <r>
    <x v="13"/>
    <d v="2016-03-20T00:00:00"/>
    <s v="Sunday"/>
    <x v="158"/>
    <n v="7.4099998474121103"/>
    <x v="159"/>
    <x v="0"/>
  </r>
  <r>
    <x v="13"/>
    <d v="2016-03-21T00:00:00"/>
    <s v="Monday"/>
    <x v="159"/>
    <n v="6.28999996185303"/>
    <x v="160"/>
    <x v="2"/>
  </r>
  <r>
    <x v="13"/>
    <d v="2016-03-22T00:00:00"/>
    <s v="Tuesday"/>
    <x v="160"/>
    <n v="4.7800002098083496"/>
    <x v="161"/>
    <x v="2"/>
  </r>
  <r>
    <x v="13"/>
    <d v="2016-03-23T00:00:00"/>
    <s v="Wednesday"/>
    <x v="161"/>
    <n v="4.5199999809265101"/>
    <x v="162"/>
    <x v="2"/>
  </r>
  <r>
    <x v="13"/>
    <d v="2016-03-24T00:00:00"/>
    <s v="Thursday"/>
    <x v="162"/>
    <n v="1.4099999666214"/>
    <x v="163"/>
    <x v="1"/>
  </r>
  <r>
    <x v="13"/>
    <d v="2016-03-25T00:00:00"/>
    <s v="Friday"/>
    <x v="163"/>
    <n v="3.9900000095367401"/>
    <x v="164"/>
    <x v="2"/>
  </r>
  <r>
    <x v="13"/>
    <d v="2016-03-26T00:00:00"/>
    <s v="Saturday"/>
    <x v="164"/>
    <n v="3.1300001144409202"/>
    <x v="165"/>
    <x v="1"/>
  </r>
  <r>
    <x v="13"/>
    <d v="2016-03-27T00:00:00"/>
    <s v="Sunday"/>
    <x v="165"/>
    <n v="5.1199998855590803"/>
    <x v="166"/>
    <x v="2"/>
  </r>
  <r>
    <x v="13"/>
    <d v="2016-03-28T00:00:00"/>
    <s v="Monday"/>
    <x v="166"/>
    <n v="1.5099999904632599"/>
    <x v="167"/>
    <x v="1"/>
  </r>
  <r>
    <x v="13"/>
    <d v="2016-03-29T00:00:00"/>
    <s v="Tuesday"/>
    <x v="167"/>
    <n v="2.9800000190734899"/>
    <x v="168"/>
    <x v="1"/>
  </r>
  <r>
    <x v="13"/>
    <d v="2016-03-30T00:00:00"/>
    <s v="Wednesday"/>
    <x v="168"/>
    <n v="3.8699998855590798"/>
    <x v="169"/>
    <x v="2"/>
  </r>
  <r>
    <x v="13"/>
    <d v="2016-03-31T00:00:00"/>
    <s v="Thursday"/>
    <x v="169"/>
    <n v="5.3299999237060502"/>
    <x v="170"/>
    <x v="2"/>
  </r>
  <r>
    <x v="13"/>
    <d v="2016-04-01T00:00:00"/>
    <s v="Friday"/>
    <x v="170"/>
    <n v="3.8399999141693102"/>
    <x v="171"/>
    <x v="2"/>
  </r>
  <r>
    <x v="13"/>
    <d v="2016-04-02T00:00:00"/>
    <s v="Saturday"/>
    <x v="171"/>
    <n v="3.0999999046325701"/>
    <x v="172"/>
    <x v="1"/>
  </r>
  <r>
    <x v="13"/>
    <d v="2016-04-03T00:00:00"/>
    <s v="Sunday"/>
    <x v="172"/>
    <n v="4.3800001144409197"/>
    <x v="173"/>
    <x v="2"/>
  </r>
  <r>
    <x v="13"/>
    <d v="2016-04-04T00:00:00"/>
    <s v="Monday"/>
    <x v="173"/>
    <n v="4.5999999046325701"/>
    <x v="174"/>
    <x v="2"/>
  </r>
  <r>
    <x v="13"/>
    <d v="2016-04-05T00:00:00"/>
    <s v="Tuesday"/>
    <x v="174"/>
    <n v="4.9299998283386204"/>
    <x v="175"/>
    <x v="2"/>
  </r>
  <r>
    <x v="13"/>
    <d v="2016-04-06T00:00:00"/>
    <s v="Wednesday"/>
    <x v="175"/>
    <n v="5.3600001335143999"/>
    <x v="176"/>
    <x v="2"/>
  </r>
  <r>
    <x v="13"/>
    <d v="2016-04-07T00:00:00"/>
    <s v="Thursday"/>
    <x v="176"/>
    <n v="4.7199997901916504"/>
    <x v="177"/>
    <x v="2"/>
  </r>
  <r>
    <x v="13"/>
    <d v="2016-04-08T00:00:00"/>
    <s v="Friday"/>
    <x v="177"/>
    <n v="7.5100002288818404"/>
    <x v="178"/>
    <x v="0"/>
  </r>
  <r>
    <x v="13"/>
    <d v="2016-04-09T00:00:00"/>
    <s v="Saturday"/>
    <x v="178"/>
    <n v="5.5500001907348597"/>
    <x v="179"/>
    <x v="2"/>
  </r>
  <r>
    <x v="13"/>
    <d v="2016-04-10T00:00:00"/>
    <s v="Sunday"/>
    <x v="179"/>
    <n v="3.6800000667571999"/>
    <x v="180"/>
    <x v="2"/>
  </r>
  <r>
    <x v="13"/>
    <d v="2016-04-11T00:00:00"/>
    <s v="Monday"/>
    <x v="180"/>
    <n v="2.1500000953674299"/>
    <x v="181"/>
    <x v="1"/>
  </r>
  <r>
    <x v="13"/>
    <d v="2016-04-12T00:00:00"/>
    <s v="Tuesday"/>
    <x v="181"/>
    <n v="9.9999997764825804E-3"/>
    <x v="182"/>
    <x v="1"/>
  </r>
  <r>
    <x v="14"/>
    <d v="2016-03-12T00:00:00"/>
    <s v="Saturday"/>
    <x v="51"/>
    <n v="0"/>
    <x v="183"/>
    <x v="1"/>
  </r>
  <r>
    <x v="14"/>
    <d v="2016-03-13T00:00:00"/>
    <s v="Sunday"/>
    <x v="51"/>
    <n v="0"/>
    <x v="183"/>
    <x v="1"/>
  </r>
  <r>
    <x v="14"/>
    <d v="2016-03-14T00:00:00"/>
    <s v="Monday"/>
    <x v="182"/>
    <n v="6.2300000190734899"/>
    <x v="184"/>
    <x v="2"/>
  </r>
  <r>
    <x v="14"/>
    <d v="2016-03-15T00:00:00"/>
    <s v="Tuesday"/>
    <x v="51"/>
    <n v="0"/>
    <x v="185"/>
    <x v="1"/>
  </r>
  <r>
    <x v="14"/>
    <d v="2016-03-16T00:00:00"/>
    <s v="Wednesday"/>
    <x v="183"/>
    <n v="1.5599999427795399"/>
    <x v="105"/>
    <x v="1"/>
  </r>
  <r>
    <x v="14"/>
    <d v="2016-03-17T00:00:00"/>
    <s v="Thursday"/>
    <x v="51"/>
    <n v="0"/>
    <x v="185"/>
    <x v="1"/>
  </r>
  <r>
    <x v="14"/>
    <d v="2016-03-18T00:00:00"/>
    <s v="Friday"/>
    <x v="184"/>
    <n v="0.68999999761581399"/>
    <x v="186"/>
    <x v="1"/>
  </r>
  <r>
    <x v="14"/>
    <d v="2016-03-19T00:00:00"/>
    <s v="Saturday"/>
    <x v="51"/>
    <n v="0"/>
    <x v="183"/>
    <x v="1"/>
  </r>
  <r>
    <x v="14"/>
    <d v="2016-03-20T00:00:00"/>
    <s v="Sunday"/>
    <x v="185"/>
    <n v="2.9999999329447701E-2"/>
    <x v="187"/>
    <x v="1"/>
  </r>
  <r>
    <x v="14"/>
    <d v="2016-03-21T00:00:00"/>
    <s v="Monday"/>
    <x v="186"/>
    <n v="1.9400000572204601"/>
    <x v="188"/>
    <x v="1"/>
  </r>
  <r>
    <x v="14"/>
    <d v="2016-03-22T00:00:00"/>
    <s v="Tuesday"/>
    <x v="187"/>
    <n v="4.1900000572204599"/>
    <x v="189"/>
    <x v="2"/>
  </r>
  <r>
    <x v="14"/>
    <d v="2016-03-23T00:00:00"/>
    <s v="Wednesday"/>
    <x v="188"/>
    <n v="5.3400001525878897"/>
    <x v="190"/>
    <x v="2"/>
  </r>
  <r>
    <x v="14"/>
    <d v="2016-03-24T00:00:00"/>
    <s v="Thursday"/>
    <x v="52"/>
    <n v="9.9999997764825804E-3"/>
    <x v="134"/>
    <x v="1"/>
  </r>
  <r>
    <x v="14"/>
    <d v="2016-03-25T00:00:00"/>
    <s v="Friday"/>
    <x v="51"/>
    <n v="0"/>
    <x v="185"/>
    <x v="1"/>
  </r>
  <r>
    <x v="14"/>
    <d v="2016-03-26T00:00:00"/>
    <s v="Saturday"/>
    <x v="51"/>
    <n v="0"/>
    <x v="185"/>
    <x v="1"/>
  </r>
  <r>
    <x v="14"/>
    <d v="2016-03-27T00:00:00"/>
    <s v="Sunday"/>
    <x v="189"/>
    <n v="1.6799999475479099"/>
    <x v="191"/>
    <x v="1"/>
  </r>
  <r>
    <x v="14"/>
    <d v="2016-03-28T00:00:00"/>
    <s v="Monday"/>
    <x v="181"/>
    <n v="9.9999997764825804E-3"/>
    <x v="192"/>
    <x v="1"/>
  </r>
  <r>
    <x v="14"/>
    <d v="2016-03-29T00:00:00"/>
    <s v="Tuesday"/>
    <x v="190"/>
    <n v="3.7599999904632599"/>
    <x v="193"/>
    <x v="2"/>
  </r>
  <r>
    <x v="14"/>
    <d v="2016-03-30T00:00:00"/>
    <s v="Wednesday"/>
    <x v="191"/>
    <n v="4"/>
    <x v="194"/>
    <x v="2"/>
  </r>
  <r>
    <x v="14"/>
    <d v="2016-03-31T00:00:00"/>
    <s v="Thursday"/>
    <x v="51"/>
    <n v="0"/>
    <x v="185"/>
    <x v="1"/>
  </r>
  <r>
    <x v="14"/>
    <d v="2016-04-01T00:00:00"/>
    <s v="Friday"/>
    <x v="51"/>
    <n v="0"/>
    <x v="185"/>
    <x v="1"/>
  </r>
  <r>
    <x v="14"/>
    <d v="2016-04-02T00:00:00"/>
    <s v="Saturday"/>
    <x v="51"/>
    <n v="0"/>
    <x v="185"/>
    <x v="1"/>
  </r>
  <r>
    <x v="14"/>
    <d v="2016-04-03T00:00:00"/>
    <s v="Sunday"/>
    <x v="51"/>
    <n v="0"/>
    <x v="185"/>
    <x v="1"/>
  </r>
  <r>
    <x v="14"/>
    <d v="2016-04-04T00:00:00"/>
    <s v="Monday"/>
    <x v="51"/>
    <n v="0"/>
    <x v="185"/>
    <x v="1"/>
  </r>
  <r>
    <x v="14"/>
    <d v="2016-04-05T00:00:00"/>
    <s v="Tuesday"/>
    <x v="51"/>
    <n v="0"/>
    <x v="185"/>
    <x v="1"/>
  </r>
  <r>
    <x v="14"/>
    <d v="2016-04-06T00:00:00"/>
    <s v="Wednesday"/>
    <x v="192"/>
    <n v="9.9999997764825804E-3"/>
    <x v="195"/>
    <x v="1"/>
  </r>
  <r>
    <x v="14"/>
    <d v="2016-04-07T00:00:00"/>
    <s v="Thursday"/>
    <x v="193"/>
    <n v="0"/>
    <x v="192"/>
    <x v="1"/>
  </r>
  <r>
    <x v="14"/>
    <d v="2016-04-08T00:00:00"/>
    <s v="Friday"/>
    <x v="194"/>
    <n v="6.1599998474121103"/>
    <x v="196"/>
    <x v="2"/>
  </r>
  <r>
    <x v="14"/>
    <d v="2016-04-09T00:00:00"/>
    <s v="Saturday"/>
    <x v="195"/>
    <n v="1.21000003814697"/>
    <x v="197"/>
    <x v="1"/>
  </r>
  <r>
    <x v="14"/>
    <d v="2016-04-10T00:00:00"/>
    <s v="Sunday"/>
    <x v="196"/>
    <n v="2.5099999904632599"/>
    <x v="198"/>
    <x v="1"/>
  </r>
  <r>
    <x v="14"/>
    <d v="2016-04-11T00:00:00"/>
    <s v="Monday"/>
    <x v="197"/>
    <n v="4.9800000190734899"/>
    <x v="199"/>
    <x v="2"/>
  </r>
  <r>
    <x v="14"/>
    <d v="2016-04-12T00:00:00"/>
    <s v="Tuesday"/>
    <x v="198"/>
    <n v="0.140000000596046"/>
    <x v="200"/>
    <x v="1"/>
  </r>
  <r>
    <x v="15"/>
    <d v="2016-03-29T00:00:00"/>
    <s v="Tuesday"/>
    <x v="199"/>
    <n v="3.78999996185303"/>
    <x v="201"/>
    <x v="2"/>
  </r>
  <r>
    <x v="15"/>
    <d v="2016-03-30T00:00:00"/>
    <s v="Wednesday"/>
    <x v="200"/>
    <n v="6.0700001716613796"/>
    <x v="202"/>
    <x v="2"/>
  </r>
  <r>
    <x v="15"/>
    <d v="2016-03-31T00:00:00"/>
    <s v="Thursday"/>
    <x v="201"/>
    <n v="5.46000003814697"/>
    <x v="203"/>
    <x v="2"/>
  </r>
  <r>
    <x v="15"/>
    <d v="2016-04-01T00:00:00"/>
    <s v="Friday"/>
    <x v="202"/>
    <n v="6.2699999809265101"/>
    <x v="204"/>
    <x v="2"/>
  </r>
  <r>
    <x v="15"/>
    <d v="2016-04-02T00:00:00"/>
    <s v="Saturday"/>
    <x v="203"/>
    <n v="5.6599998474121103"/>
    <x v="1"/>
    <x v="2"/>
  </r>
  <r>
    <x v="15"/>
    <d v="2016-04-03T00:00:00"/>
    <s v="Sunday"/>
    <x v="204"/>
    <n v="5.5199999809265101"/>
    <x v="205"/>
    <x v="2"/>
  </r>
  <r>
    <x v="15"/>
    <d v="2016-04-04T00:00:00"/>
    <s v="Monday"/>
    <x v="205"/>
    <n v="6.7600002288818404"/>
    <x v="206"/>
    <x v="0"/>
  </r>
  <r>
    <x v="15"/>
    <d v="2016-04-05T00:00:00"/>
    <s v="Tuesday"/>
    <x v="206"/>
    <n v="5.6300001144409197"/>
    <x v="207"/>
    <x v="2"/>
  </r>
  <r>
    <x v="15"/>
    <d v="2016-04-06T00:00:00"/>
    <s v="Wednesday"/>
    <x v="207"/>
    <n v="7.3499999046325701"/>
    <x v="208"/>
    <x v="0"/>
  </r>
  <r>
    <x v="15"/>
    <d v="2016-04-07T00:00:00"/>
    <s v="Thursday"/>
    <x v="208"/>
    <n v="6.1500000953674299"/>
    <x v="209"/>
    <x v="2"/>
  </r>
  <r>
    <x v="15"/>
    <d v="2016-04-08T00:00:00"/>
    <s v="Friday"/>
    <x v="209"/>
    <n v="4.4099998474121103"/>
    <x v="131"/>
    <x v="2"/>
  </r>
  <r>
    <x v="15"/>
    <d v="2016-04-09T00:00:00"/>
    <s v="Saturday"/>
    <x v="51"/>
    <n v="0"/>
    <x v="125"/>
    <x v="1"/>
  </r>
  <r>
    <x v="16"/>
    <d v="2016-03-29T00:00:00"/>
    <s v="Tuesday"/>
    <x v="51"/>
    <n v="0"/>
    <x v="133"/>
    <x v="1"/>
  </r>
  <r>
    <x v="16"/>
    <d v="2016-03-30T00:00:00"/>
    <s v="Wednesday"/>
    <x v="51"/>
    <n v="0"/>
    <x v="133"/>
    <x v="1"/>
  </r>
  <r>
    <x v="16"/>
    <d v="2016-03-31T00:00:00"/>
    <s v="Thursday"/>
    <x v="51"/>
    <n v="0"/>
    <x v="133"/>
    <x v="1"/>
  </r>
  <r>
    <x v="16"/>
    <d v="2016-04-01T00:00:00"/>
    <s v="Friday"/>
    <x v="51"/>
    <n v="0"/>
    <x v="133"/>
    <x v="1"/>
  </r>
  <r>
    <x v="16"/>
    <d v="2016-04-02T00:00:00"/>
    <s v="Saturday"/>
    <x v="51"/>
    <n v="0"/>
    <x v="133"/>
    <x v="1"/>
  </r>
  <r>
    <x v="16"/>
    <d v="2016-04-03T00:00:00"/>
    <s v="Sunday"/>
    <x v="51"/>
    <n v="0"/>
    <x v="133"/>
    <x v="1"/>
  </r>
  <r>
    <x v="16"/>
    <d v="2016-04-04T00:00:00"/>
    <s v="Monday"/>
    <x v="51"/>
    <n v="0"/>
    <x v="133"/>
    <x v="1"/>
  </r>
  <r>
    <x v="16"/>
    <d v="2016-04-05T00:00:00"/>
    <s v="Tuesday"/>
    <x v="51"/>
    <n v="0"/>
    <x v="210"/>
    <x v="1"/>
  </r>
  <r>
    <x v="17"/>
    <d v="2016-03-29T00:00:00"/>
    <s v="Tuesday"/>
    <x v="210"/>
    <n v="1.54999995231628"/>
    <x v="135"/>
    <x v="1"/>
  </r>
  <r>
    <x v="17"/>
    <d v="2016-03-30T00:00:00"/>
    <s v="Wednesday"/>
    <x v="211"/>
    <n v="1.7400000095367401"/>
    <x v="211"/>
    <x v="1"/>
  </r>
  <r>
    <x v="17"/>
    <d v="2016-03-31T00:00:00"/>
    <s v="Thursday"/>
    <x v="212"/>
    <n v="3.2200000286102299"/>
    <x v="212"/>
    <x v="1"/>
  </r>
  <r>
    <x v="17"/>
    <d v="2016-04-01T00:00:00"/>
    <s v="Friday"/>
    <x v="213"/>
    <n v="2.1900000572204599"/>
    <x v="213"/>
    <x v="1"/>
  </r>
  <r>
    <x v="17"/>
    <d v="2016-04-02T00:00:00"/>
    <s v="Saturday"/>
    <x v="214"/>
    <n v="3.6300001144409202"/>
    <x v="214"/>
    <x v="2"/>
  </r>
  <r>
    <x v="17"/>
    <d v="2016-04-03T00:00:00"/>
    <s v="Sunday"/>
    <x v="215"/>
    <n v="2.1099998950958301"/>
    <x v="110"/>
    <x v="1"/>
  </r>
  <r>
    <x v="17"/>
    <d v="2016-04-04T00:00:00"/>
    <s v="Monday"/>
    <x v="216"/>
    <n v="1.62999999523163"/>
    <x v="105"/>
    <x v="1"/>
  </r>
  <r>
    <x v="17"/>
    <d v="2016-04-05T00:00:00"/>
    <s v="Tuesday"/>
    <x v="217"/>
    <n v="2.8399999141693102"/>
    <x v="215"/>
    <x v="1"/>
  </r>
  <r>
    <x v="17"/>
    <d v="2016-04-06T00:00:00"/>
    <s v="Wednesday"/>
    <x v="218"/>
    <n v="4.7800002098083496"/>
    <x v="216"/>
    <x v="2"/>
  </r>
  <r>
    <x v="17"/>
    <d v="2016-04-07T00:00:00"/>
    <s v="Thursday"/>
    <x v="219"/>
    <n v="4.6100001335143999"/>
    <x v="217"/>
    <x v="2"/>
  </r>
  <r>
    <x v="17"/>
    <d v="2016-04-08T00:00:00"/>
    <s v="Friday"/>
    <x v="150"/>
    <n v="3.7200000286102299"/>
    <x v="218"/>
    <x v="2"/>
  </r>
  <r>
    <x v="17"/>
    <d v="2016-04-09T00:00:00"/>
    <s v="Saturday"/>
    <x v="220"/>
    <n v="2.8099999427795401"/>
    <x v="219"/>
    <x v="1"/>
  </r>
  <r>
    <x v="17"/>
    <d v="2016-04-10T00:00:00"/>
    <s v="Sunday"/>
    <x v="221"/>
    <n v="4.4499998092651403"/>
    <x v="220"/>
    <x v="2"/>
  </r>
  <r>
    <x v="17"/>
    <d v="2016-04-11T00:00:00"/>
    <s v="Monday"/>
    <x v="222"/>
    <n v="4.1300001144409197"/>
    <x v="221"/>
    <x v="2"/>
  </r>
  <r>
    <x v="17"/>
    <d v="2016-04-12T00:00:00"/>
    <s v="Tuesday"/>
    <x v="223"/>
    <n v="0.18999999761581399"/>
    <x v="222"/>
    <x v="1"/>
  </r>
  <r>
    <x v="18"/>
    <d v="2016-04-01T00:00:00"/>
    <s v="Friday"/>
    <x v="224"/>
    <n v="3.5299999713897701"/>
    <x v="223"/>
    <x v="2"/>
  </r>
  <r>
    <x v="18"/>
    <d v="2016-04-02T00:00:00"/>
    <s v="Saturday"/>
    <x v="225"/>
    <n v="2.0999999046325701"/>
    <x v="224"/>
    <x v="1"/>
  </r>
  <r>
    <x v="18"/>
    <d v="2016-04-03T00:00:00"/>
    <s v="Sunday"/>
    <x v="226"/>
    <n v="4.0799999237060502"/>
    <x v="225"/>
    <x v="2"/>
  </r>
  <r>
    <x v="18"/>
    <d v="2016-04-04T00:00:00"/>
    <s v="Monday"/>
    <x v="227"/>
    <n v="5.4200000762939498"/>
    <x v="226"/>
    <x v="2"/>
  </r>
  <r>
    <x v="18"/>
    <d v="2016-04-05T00:00:00"/>
    <s v="Tuesday"/>
    <x v="228"/>
    <n v="4.4899997711181596"/>
    <x v="227"/>
    <x v="2"/>
  </r>
  <r>
    <x v="18"/>
    <d v="2016-04-06T00:00:00"/>
    <s v="Wednesday"/>
    <x v="229"/>
    <n v="3.75"/>
    <x v="228"/>
    <x v="2"/>
  </r>
  <r>
    <x v="18"/>
    <d v="2016-04-07T00:00:00"/>
    <s v="Thursday"/>
    <x v="230"/>
    <n v="5.28999996185303"/>
    <x v="229"/>
    <x v="2"/>
  </r>
  <r>
    <x v="18"/>
    <d v="2016-04-08T00:00:00"/>
    <s v="Friday"/>
    <x v="220"/>
    <n v="2.7699999809265101"/>
    <x v="192"/>
    <x v="1"/>
  </r>
  <r>
    <x v="18"/>
    <d v="2016-04-09T00:00:00"/>
    <s v="Saturday"/>
    <x v="231"/>
    <n v="3.6400001049041699"/>
    <x v="230"/>
    <x v="2"/>
  </r>
  <r>
    <x v="18"/>
    <d v="2016-04-10T00:00:00"/>
    <s v="Sunday"/>
    <x v="232"/>
    <n v="4.1399998664856001"/>
    <x v="231"/>
    <x v="2"/>
  </r>
  <r>
    <x v="18"/>
    <d v="2016-04-11T00:00:00"/>
    <s v="Monday"/>
    <x v="233"/>
    <n v="5.8400001525878897"/>
    <x v="232"/>
    <x v="2"/>
  </r>
  <r>
    <x v="18"/>
    <d v="2016-04-12T00:00:00"/>
    <s v="Tuesday"/>
    <x v="234"/>
    <n v="0.82999998331069902"/>
    <x v="233"/>
    <x v="1"/>
  </r>
  <r>
    <x v="19"/>
    <d v="2016-03-29T00:00:00"/>
    <s v="Tuesday"/>
    <x v="235"/>
    <n v="5.2800002098083496"/>
    <x v="234"/>
    <x v="2"/>
  </r>
  <r>
    <x v="19"/>
    <d v="2016-03-30T00:00:00"/>
    <s v="Wednesday"/>
    <x v="236"/>
    <n v="6.1500000953674299"/>
    <x v="235"/>
    <x v="2"/>
  </r>
  <r>
    <x v="19"/>
    <d v="2016-03-31T00:00:00"/>
    <s v="Thursday"/>
    <x v="237"/>
    <n v="5.6500000953674299"/>
    <x v="236"/>
    <x v="2"/>
  </r>
  <r>
    <x v="19"/>
    <d v="2016-04-01T00:00:00"/>
    <s v="Friday"/>
    <x v="238"/>
    <n v="5.8099999427795401"/>
    <x v="237"/>
    <x v="2"/>
  </r>
  <r>
    <x v="19"/>
    <d v="2016-04-02T00:00:00"/>
    <s v="Saturday"/>
    <x v="239"/>
    <n v="8.3800001144409197"/>
    <x v="37"/>
    <x v="0"/>
  </r>
  <r>
    <x v="19"/>
    <d v="2016-04-03T00:00:00"/>
    <s v="Sunday"/>
    <x v="240"/>
    <n v="9.8299999237060494"/>
    <x v="238"/>
    <x v="0"/>
  </r>
  <r>
    <x v="19"/>
    <d v="2016-04-04T00:00:00"/>
    <s v="Monday"/>
    <x v="241"/>
    <n v="6.3600001335143999"/>
    <x v="239"/>
    <x v="2"/>
  </r>
  <r>
    <x v="19"/>
    <d v="2016-04-05T00:00:00"/>
    <s v="Tuesday"/>
    <x v="242"/>
    <n v="5.4099998474121103"/>
    <x v="240"/>
    <x v="2"/>
  </r>
  <r>
    <x v="19"/>
    <d v="2016-04-06T00:00:00"/>
    <s v="Wednesday"/>
    <x v="243"/>
    <n v="6.1799998283386204"/>
    <x v="241"/>
    <x v="2"/>
  </r>
  <r>
    <x v="19"/>
    <d v="2016-04-07T00:00:00"/>
    <s v="Thursday"/>
    <x v="244"/>
    <n v="5.3400001525878897"/>
    <x v="242"/>
    <x v="2"/>
  </r>
  <r>
    <x v="19"/>
    <d v="2016-04-08T00:00:00"/>
    <s v="Friday"/>
    <x v="245"/>
    <n v="6.6399998664856001"/>
    <x v="243"/>
    <x v="2"/>
  </r>
  <r>
    <x v="19"/>
    <d v="2016-04-09T00:00:00"/>
    <s v="Saturday"/>
    <x v="246"/>
    <n v="11.3599996566772"/>
    <x v="244"/>
    <x v="0"/>
  </r>
  <r>
    <x v="19"/>
    <d v="2016-04-10T00:00:00"/>
    <s v="Sunday"/>
    <x v="247"/>
    <n v="9.0299997329711896"/>
    <x v="245"/>
    <x v="0"/>
  </r>
  <r>
    <x v="19"/>
    <d v="2016-04-11T00:00:00"/>
    <s v="Monday"/>
    <x v="248"/>
    <n v="5.2699999809265101"/>
    <x v="246"/>
    <x v="2"/>
  </r>
  <r>
    <x v="19"/>
    <d v="2016-04-12T00:00:00"/>
    <s v="Tuesday"/>
    <x v="51"/>
    <n v="0"/>
    <x v="125"/>
    <x v="1"/>
  </r>
  <r>
    <x v="20"/>
    <d v="2016-04-01T00:00:00"/>
    <s v="Friday"/>
    <x v="249"/>
    <n v="8.1000003814697301"/>
    <x v="247"/>
    <x v="0"/>
  </r>
  <r>
    <x v="20"/>
    <d v="2016-04-02T00:00:00"/>
    <s v="Saturday"/>
    <x v="250"/>
    <n v="1.91999995708466"/>
    <x v="248"/>
    <x v="1"/>
  </r>
  <r>
    <x v="20"/>
    <d v="2016-04-03T00:00:00"/>
    <s v="Sunday"/>
    <x v="251"/>
    <n v="0.99000000953674305"/>
    <x v="249"/>
    <x v="1"/>
  </r>
  <r>
    <x v="20"/>
    <d v="2016-04-04T00:00:00"/>
    <s v="Monday"/>
    <x v="252"/>
    <n v="5.8800001144409197"/>
    <x v="250"/>
    <x v="2"/>
  </r>
  <r>
    <x v="20"/>
    <d v="2016-04-05T00:00:00"/>
    <s v="Tuesday"/>
    <x v="253"/>
    <n v="7.3800001144409197"/>
    <x v="251"/>
    <x v="0"/>
  </r>
  <r>
    <x v="20"/>
    <d v="2016-04-06T00:00:00"/>
    <s v="Wednesday"/>
    <x v="254"/>
    <n v="8"/>
    <x v="252"/>
    <x v="0"/>
  </r>
  <r>
    <x v="20"/>
    <d v="2016-04-07T00:00:00"/>
    <s v="Thursday"/>
    <x v="255"/>
    <n v="10.079999923706101"/>
    <x v="253"/>
    <x v="0"/>
  </r>
  <r>
    <x v="20"/>
    <d v="2016-04-08T00:00:00"/>
    <s v="Friday"/>
    <x v="256"/>
    <n v="6.4899997711181596"/>
    <x v="254"/>
    <x v="2"/>
  </r>
  <r>
    <x v="20"/>
    <d v="2016-04-09T00:00:00"/>
    <s v="Saturday"/>
    <x v="257"/>
    <n v="3"/>
    <x v="255"/>
    <x v="1"/>
  </r>
  <r>
    <x v="20"/>
    <d v="2016-04-10T00:00:00"/>
    <s v="Sunday"/>
    <x v="258"/>
    <n v="3.6500000953674299"/>
    <x v="256"/>
    <x v="2"/>
  </r>
  <r>
    <x v="20"/>
    <d v="2016-04-11T00:00:00"/>
    <s v="Monday"/>
    <x v="259"/>
    <n v="7.7699999809265101"/>
    <x v="257"/>
    <x v="0"/>
  </r>
  <r>
    <x v="20"/>
    <d v="2016-04-12T00:00:00"/>
    <s v="Tuesday"/>
    <x v="260"/>
    <n v="2.2400000095367401"/>
    <x v="258"/>
    <x v="1"/>
  </r>
  <r>
    <x v="21"/>
    <d v="2016-04-01T00:00:00"/>
    <s v="Friday"/>
    <x v="261"/>
    <n v="7.8699998855590803"/>
    <x v="259"/>
    <x v="0"/>
  </r>
  <r>
    <x v="21"/>
    <d v="2016-04-02T00:00:00"/>
    <s v="Saturday"/>
    <x v="262"/>
    <n v="11.1099996566772"/>
    <x v="260"/>
    <x v="0"/>
  </r>
  <r>
    <x v="21"/>
    <d v="2016-04-03T00:00:00"/>
    <s v="Sunday"/>
    <x v="263"/>
    <n v="7.4099998474121103"/>
    <x v="261"/>
    <x v="2"/>
  </r>
  <r>
    <x v="21"/>
    <d v="2016-04-04T00:00:00"/>
    <s v="Monday"/>
    <x v="264"/>
    <n v="5.5599999427795401"/>
    <x v="262"/>
    <x v="2"/>
  </r>
  <r>
    <x v="21"/>
    <d v="2016-04-05T00:00:00"/>
    <s v="Tuesday"/>
    <x v="265"/>
    <n v="6.6999998092651403"/>
    <x v="244"/>
    <x v="2"/>
  </r>
  <r>
    <x v="21"/>
    <d v="2016-04-06T00:00:00"/>
    <s v="Wednesday"/>
    <x v="266"/>
    <n v="8.3000001907348597"/>
    <x v="263"/>
    <x v="0"/>
  </r>
  <r>
    <x v="21"/>
    <d v="2016-04-07T00:00:00"/>
    <s v="Thursday"/>
    <x v="138"/>
    <n v="3.3599998950958301"/>
    <x v="264"/>
    <x v="1"/>
  </r>
  <r>
    <x v="21"/>
    <d v="2016-04-08T00:00:00"/>
    <s v="Friday"/>
    <x v="267"/>
    <n v="3.2599999904632599"/>
    <x v="265"/>
    <x v="1"/>
  </r>
  <r>
    <x v="21"/>
    <d v="2016-04-09T00:00:00"/>
    <s v="Saturday"/>
    <x v="268"/>
    <n v="7.8400001525878897"/>
    <x v="266"/>
    <x v="0"/>
  </r>
  <r>
    <x v="21"/>
    <d v="2016-04-10T00:00:00"/>
    <s v="Sunday"/>
    <x v="269"/>
    <n v="7.3800001144409197"/>
    <x v="267"/>
    <x v="2"/>
  </r>
  <r>
    <x v="21"/>
    <d v="2016-04-11T00:00:00"/>
    <s v="Monday"/>
    <x v="270"/>
    <n v="2.1400001049041699"/>
    <x v="268"/>
    <x v="1"/>
  </r>
  <r>
    <x v="22"/>
    <d v="2016-04-01T00:00:00"/>
    <s v="Friday"/>
    <x v="271"/>
    <n v="5.6199998855590803"/>
    <x v="219"/>
    <x v="2"/>
  </r>
  <r>
    <x v="22"/>
    <d v="2016-04-02T00:00:00"/>
    <s v="Saturday"/>
    <x v="272"/>
    <n v="14.8400001525879"/>
    <x v="269"/>
    <x v="0"/>
  </r>
  <r>
    <x v="22"/>
    <d v="2016-04-03T00:00:00"/>
    <s v="Sunday"/>
    <x v="51"/>
    <n v="0"/>
    <x v="270"/>
    <x v="1"/>
  </r>
  <r>
    <x v="22"/>
    <d v="2016-04-04T00:00:00"/>
    <s v="Monday"/>
    <x v="273"/>
    <n v="6.3899998664856001"/>
    <x v="271"/>
    <x v="2"/>
  </r>
  <r>
    <x v="22"/>
    <d v="2016-04-05T00:00:00"/>
    <s v="Tuesday"/>
    <x v="274"/>
    <n v="7.4800000190734899"/>
    <x v="272"/>
    <x v="2"/>
  </r>
  <r>
    <x v="22"/>
    <d v="2016-04-06T00:00:00"/>
    <s v="Wednesday"/>
    <x v="249"/>
    <n v="9.3699998855590803"/>
    <x v="273"/>
    <x v="0"/>
  </r>
  <r>
    <x v="22"/>
    <d v="2016-04-07T00:00:00"/>
    <s v="Thursday"/>
    <x v="275"/>
    <n v="3.6600000858306898"/>
    <x v="274"/>
    <x v="1"/>
  </r>
  <r>
    <x v="22"/>
    <d v="2016-04-08T00:00:00"/>
    <s v="Friday"/>
    <x v="276"/>
    <n v="6.7600002288818404"/>
    <x v="275"/>
    <x v="2"/>
  </r>
  <r>
    <x v="22"/>
    <d v="2016-04-09T00:00:00"/>
    <s v="Saturday"/>
    <x v="277"/>
    <n v="8.1499996185302699"/>
    <x v="276"/>
    <x v="0"/>
  </r>
  <r>
    <x v="22"/>
    <d v="2016-04-10T00:00:00"/>
    <s v="Sunday"/>
    <x v="51"/>
    <n v="0"/>
    <x v="125"/>
    <x v="1"/>
  </r>
  <r>
    <x v="23"/>
    <d v="2016-04-01T00:00:00"/>
    <s v="Friday"/>
    <x v="278"/>
    <n v="5.0100002288818404"/>
    <x v="277"/>
    <x v="2"/>
  </r>
  <r>
    <x v="23"/>
    <d v="2016-04-02T00:00:00"/>
    <s v="Saturday"/>
    <x v="279"/>
    <n v="7.2199997901916504"/>
    <x v="278"/>
    <x v="2"/>
  </r>
  <r>
    <x v="23"/>
    <d v="2016-04-03T00:00:00"/>
    <s v="Sunday"/>
    <x v="51"/>
    <n v="0"/>
    <x v="279"/>
    <x v="1"/>
  </r>
  <r>
    <x v="23"/>
    <d v="2016-04-04T00:00:00"/>
    <s v="Monday"/>
    <x v="51"/>
    <n v="0"/>
    <x v="280"/>
    <x v="1"/>
  </r>
  <r>
    <x v="23"/>
    <d v="2016-04-05T00:00:00"/>
    <s v="Tuesday"/>
    <x v="51"/>
    <n v="0"/>
    <x v="280"/>
    <x v="1"/>
  </r>
  <r>
    <x v="23"/>
    <d v="2016-04-06T00:00:00"/>
    <s v="Wednesday"/>
    <x v="51"/>
    <n v="0"/>
    <x v="280"/>
    <x v="1"/>
  </r>
  <r>
    <x v="23"/>
    <d v="2016-04-07T00:00:00"/>
    <s v="Thursday"/>
    <x v="51"/>
    <n v="0"/>
    <x v="280"/>
    <x v="1"/>
  </r>
  <r>
    <x v="23"/>
    <d v="2016-04-08T00:00:00"/>
    <s v="Friday"/>
    <x v="51"/>
    <n v="0"/>
    <x v="280"/>
    <x v="1"/>
  </r>
  <r>
    <x v="23"/>
    <d v="2016-04-09T00:00:00"/>
    <s v="Saturday"/>
    <x v="51"/>
    <n v="0"/>
    <x v="280"/>
    <x v="1"/>
  </r>
  <r>
    <x v="23"/>
    <d v="2016-04-10T00:00:00"/>
    <s v="Sunday"/>
    <x v="51"/>
    <n v="0"/>
    <x v="281"/>
    <x v="1"/>
  </r>
  <r>
    <x v="24"/>
    <d v="2016-04-01T00:00:00"/>
    <s v="Friday"/>
    <x v="51"/>
    <n v="0"/>
    <x v="5"/>
    <x v="1"/>
  </r>
  <r>
    <x v="24"/>
    <d v="2016-04-02T00:00:00"/>
    <s v="Saturday"/>
    <x v="280"/>
    <n v="2.0299999713897701"/>
    <x v="282"/>
    <x v="1"/>
  </r>
  <r>
    <x v="24"/>
    <d v="2016-04-03T00:00:00"/>
    <s v="Sunday"/>
    <x v="51"/>
    <n v="0"/>
    <x v="5"/>
    <x v="1"/>
  </r>
  <r>
    <x v="24"/>
    <d v="2016-04-04T00:00:00"/>
    <s v="Monday"/>
    <x v="51"/>
    <n v="0"/>
    <x v="5"/>
    <x v="1"/>
  </r>
  <r>
    <x v="24"/>
    <d v="2016-04-05T00:00:00"/>
    <s v="Tuesday"/>
    <x v="281"/>
    <n v="7.5100002288818404"/>
    <x v="66"/>
    <x v="2"/>
  </r>
  <r>
    <x v="24"/>
    <d v="2016-04-06T00:00:00"/>
    <s v="Wednesday"/>
    <x v="282"/>
    <n v="0.129999995231628"/>
    <x v="283"/>
    <x v="1"/>
  </r>
  <r>
    <x v="24"/>
    <d v="2016-04-07T00:00:00"/>
    <s v="Thursday"/>
    <x v="51"/>
    <n v="0"/>
    <x v="284"/>
    <x v="1"/>
  </r>
  <r>
    <x v="24"/>
    <d v="2016-04-08T00:00:00"/>
    <s v="Friday"/>
    <x v="51"/>
    <n v="0"/>
    <x v="5"/>
    <x v="1"/>
  </r>
  <r>
    <x v="24"/>
    <d v="2016-04-09T00:00:00"/>
    <s v="Saturday"/>
    <x v="51"/>
    <n v="0"/>
    <x v="285"/>
    <x v="1"/>
  </r>
  <r>
    <x v="25"/>
    <d v="2016-04-01T00:00:00"/>
    <s v="Friday"/>
    <x v="283"/>
    <n v="5.1799998283386204"/>
    <x v="286"/>
    <x v="2"/>
  </r>
  <r>
    <x v="25"/>
    <d v="2016-04-02T00:00:00"/>
    <s v="Saturday"/>
    <x v="284"/>
    <n v="1.4299999475479099"/>
    <x v="287"/>
    <x v="1"/>
  </r>
  <r>
    <x v="25"/>
    <d v="2016-04-03T00:00:00"/>
    <s v="Sunday"/>
    <x v="285"/>
    <n v="1.12999999523163"/>
    <x v="288"/>
    <x v="1"/>
  </r>
  <r>
    <x v="25"/>
    <d v="2016-04-04T00:00:00"/>
    <s v="Monday"/>
    <x v="51"/>
    <n v="0"/>
    <x v="289"/>
    <x v="1"/>
  </r>
  <r>
    <x v="25"/>
    <d v="2016-04-05T00:00:00"/>
    <s v="Tuesday"/>
    <x v="286"/>
    <n v="6.6999998092651403"/>
    <x v="290"/>
    <x v="2"/>
  </r>
  <r>
    <x v="25"/>
    <d v="2016-04-06T00:00:00"/>
    <s v="Wednesday"/>
    <x v="287"/>
    <n v="8.4300003051757795"/>
    <x v="291"/>
    <x v="0"/>
  </r>
  <r>
    <x v="25"/>
    <d v="2016-04-07T00:00:00"/>
    <s v="Thursday"/>
    <x v="288"/>
    <n v="10.0299997329712"/>
    <x v="292"/>
    <x v="0"/>
  </r>
  <r>
    <x v="25"/>
    <d v="2016-04-08T00:00:00"/>
    <s v="Friday"/>
    <x v="289"/>
    <n v="2.96000003814697"/>
    <x v="293"/>
    <x v="1"/>
  </r>
  <r>
    <x v="25"/>
    <d v="2016-04-09T00:00:00"/>
    <s v="Saturday"/>
    <x v="290"/>
    <n v="9.9999997764825804E-3"/>
    <x v="294"/>
    <x v="1"/>
  </r>
  <r>
    <x v="26"/>
    <d v="2016-03-30T00:00:00"/>
    <s v="Wednesday"/>
    <x v="291"/>
    <n v="10.2399997711182"/>
    <x v="295"/>
    <x v="0"/>
  </r>
  <r>
    <x v="26"/>
    <d v="2016-03-31T00:00:00"/>
    <s v="Thursday"/>
    <x v="292"/>
    <n v="9.3199996948242205"/>
    <x v="296"/>
    <x v="0"/>
  </r>
  <r>
    <x v="26"/>
    <d v="2016-04-01T00:00:00"/>
    <s v="Friday"/>
    <x v="293"/>
    <n v="6.9800000190734899"/>
    <x v="297"/>
    <x v="0"/>
  </r>
  <r>
    <x v="26"/>
    <d v="2016-04-02T00:00:00"/>
    <s v="Saturday"/>
    <x v="294"/>
    <n v="8.3000001907348597"/>
    <x v="298"/>
    <x v="0"/>
  </r>
  <r>
    <x v="26"/>
    <d v="2016-04-03T00:00:00"/>
    <s v="Sunday"/>
    <x v="295"/>
    <n v="8.1400003433227504"/>
    <x v="299"/>
    <x v="0"/>
  </r>
  <r>
    <x v="26"/>
    <d v="2016-04-04T00:00:00"/>
    <s v="Monday"/>
    <x v="296"/>
    <n v="12.800000190734901"/>
    <x v="300"/>
    <x v="0"/>
  </r>
  <r>
    <x v="26"/>
    <d v="2016-04-05T00:00:00"/>
    <s v="Tuesday"/>
    <x v="297"/>
    <n v="7.9400000572204599"/>
    <x v="301"/>
    <x v="0"/>
  </r>
  <r>
    <x v="26"/>
    <d v="2016-04-06T00:00:00"/>
    <s v="Wednesday"/>
    <x v="298"/>
    <n v="8.8599996566772496"/>
    <x v="302"/>
    <x v="0"/>
  </r>
  <r>
    <x v="26"/>
    <d v="2016-04-07T00:00:00"/>
    <s v="Thursday"/>
    <x v="299"/>
    <n v="9.6499996185302699"/>
    <x v="295"/>
    <x v="0"/>
  </r>
  <r>
    <x v="26"/>
    <d v="2016-04-08T00:00:00"/>
    <s v="Friday"/>
    <x v="300"/>
    <n v="10.8800001144409"/>
    <x v="296"/>
    <x v="0"/>
  </r>
  <r>
    <x v="26"/>
    <d v="2016-04-09T00:00:00"/>
    <s v="Saturday"/>
    <x v="301"/>
    <n v="8.2600002288818395"/>
    <x v="303"/>
    <x v="0"/>
  </r>
  <r>
    <x v="26"/>
    <d v="2016-04-10T00:00:00"/>
    <s v="Sunday"/>
    <x v="302"/>
    <n v="6.71000003814697"/>
    <x v="304"/>
    <x v="0"/>
  </r>
  <r>
    <x v="26"/>
    <d v="2016-04-11T00:00:00"/>
    <s v="Monday"/>
    <x v="303"/>
    <n v="9.0900001525878906"/>
    <x v="296"/>
    <x v="0"/>
  </r>
  <r>
    <x v="26"/>
    <d v="2016-04-12T00:00:00"/>
    <s v="Tuesday"/>
    <x v="304"/>
    <n v="3.9000000953674299"/>
    <x v="305"/>
    <x v="2"/>
  </r>
  <r>
    <x v="27"/>
    <d v="2016-04-01T00:00:00"/>
    <s v="Friday"/>
    <x v="305"/>
    <n v="9.0600004196166992"/>
    <x v="306"/>
    <x v="0"/>
  </r>
  <r>
    <x v="27"/>
    <d v="2016-04-02T00:00:00"/>
    <s v="Saturday"/>
    <x v="306"/>
    <n v="7.3400001525878897"/>
    <x v="307"/>
    <x v="0"/>
  </r>
  <r>
    <x v="27"/>
    <d v="2016-04-03T00:00:00"/>
    <s v="Sunday"/>
    <x v="307"/>
    <n v="11.2399997711182"/>
    <x v="308"/>
    <x v="0"/>
  </r>
  <r>
    <x v="27"/>
    <d v="2016-04-04T00:00:00"/>
    <s v="Monday"/>
    <x v="308"/>
    <n v="11.3999996185303"/>
    <x v="234"/>
    <x v="0"/>
  </r>
  <r>
    <x v="27"/>
    <d v="2016-04-05T00:00:00"/>
    <s v="Tuesday"/>
    <x v="309"/>
    <n v="9.1400003433227504"/>
    <x v="309"/>
    <x v="0"/>
  </r>
  <r>
    <x v="27"/>
    <d v="2016-04-06T00:00:00"/>
    <s v="Wednesday"/>
    <x v="310"/>
    <n v="10.25"/>
    <x v="77"/>
    <x v="0"/>
  </r>
  <r>
    <x v="27"/>
    <d v="2016-04-07T00:00:00"/>
    <s v="Thursday"/>
    <x v="311"/>
    <n v="10.579999923706101"/>
    <x v="310"/>
    <x v="0"/>
  </r>
  <r>
    <x v="27"/>
    <d v="2016-04-08T00:00:00"/>
    <s v="Friday"/>
    <x v="312"/>
    <n v="9.6499996185302699"/>
    <x v="311"/>
    <x v="0"/>
  </r>
  <r>
    <x v="27"/>
    <d v="2016-04-09T00:00:00"/>
    <s v="Saturday"/>
    <x v="313"/>
    <n v="6.9200000762939498"/>
    <x v="312"/>
    <x v="0"/>
  </r>
  <r>
    <x v="27"/>
    <d v="2016-04-10T00:00:00"/>
    <s v="Sunday"/>
    <x v="314"/>
    <n v="6.78999996185303"/>
    <x v="313"/>
    <x v="0"/>
  </r>
  <r>
    <x v="27"/>
    <d v="2016-04-11T00:00:00"/>
    <s v="Monday"/>
    <x v="315"/>
    <n v="8.1400003433227504"/>
    <x v="311"/>
    <x v="0"/>
  </r>
  <r>
    <x v="27"/>
    <d v="2016-04-12T00:00:00"/>
    <s v="Tuesday"/>
    <x v="316"/>
    <n v="5.7699999809265101"/>
    <x v="314"/>
    <x v="2"/>
  </r>
  <r>
    <x v="28"/>
    <d v="2016-04-01T00:00:00"/>
    <s v="Friday"/>
    <x v="317"/>
    <n v="7.6700000762939498"/>
    <x v="315"/>
    <x v="0"/>
  </r>
  <r>
    <x v="28"/>
    <d v="2016-04-02T00:00:00"/>
    <s v="Saturday"/>
    <x v="318"/>
    <n v="1.9999999552965199E-2"/>
    <x v="316"/>
    <x v="1"/>
  </r>
  <r>
    <x v="28"/>
    <d v="2016-04-03T00:00:00"/>
    <s v="Sunday"/>
    <x v="319"/>
    <n v="1.3099999427795399"/>
    <x v="317"/>
    <x v="1"/>
  </r>
  <r>
    <x v="28"/>
    <d v="2016-04-04T00:00:00"/>
    <s v="Monday"/>
    <x v="320"/>
    <n v="3.8699998855590798"/>
    <x v="318"/>
    <x v="2"/>
  </r>
  <r>
    <x v="28"/>
    <d v="2016-04-05T00:00:00"/>
    <s v="Tuesday"/>
    <x v="321"/>
    <n v="4.9899997711181596"/>
    <x v="319"/>
    <x v="2"/>
  </r>
  <r>
    <x v="28"/>
    <d v="2016-04-06T00:00:00"/>
    <s v="Wednesday"/>
    <x v="322"/>
    <n v="4.7300000190734899"/>
    <x v="320"/>
    <x v="2"/>
  </r>
  <r>
    <x v="28"/>
    <d v="2016-04-07T00:00:00"/>
    <s v="Thursday"/>
    <x v="323"/>
    <n v="10.819999694824199"/>
    <x v="321"/>
    <x v="0"/>
  </r>
  <r>
    <x v="28"/>
    <d v="2016-04-08T00:00:00"/>
    <s v="Friday"/>
    <x v="324"/>
    <n v="6.5199999809265101"/>
    <x v="322"/>
    <x v="2"/>
  </r>
  <r>
    <x v="28"/>
    <d v="2016-04-09T00:00:00"/>
    <s v="Saturday"/>
    <x v="325"/>
    <n v="4.6700000762939498"/>
    <x v="323"/>
    <x v="2"/>
  </r>
  <r>
    <x v="28"/>
    <d v="2016-04-10T00:00:00"/>
    <s v="Sunday"/>
    <x v="326"/>
    <n v="0.34999999403953602"/>
    <x v="324"/>
    <x v="1"/>
  </r>
  <r>
    <x v="28"/>
    <d v="2016-04-11T00:00:00"/>
    <s v="Monday"/>
    <x v="327"/>
    <n v="3.9200000762939502"/>
    <x v="325"/>
    <x v="2"/>
  </r>
  <r>
    <x v="28"/>
    <d v="2016-04-12T00:00:00"/>
    <s v="Tuesday"/>
    <x v="328"/>
    <n v="0.259999990463257"/>
    <x v="326"/>
    <x v="1"/>
  </r>
  <r>
    <x v="29"/>
    <d v="2016-04-02T00:00:00"/>
    <s v="Saturday"/>
    <x v="329"/>
    <n v="15.6199998855591"/>
    <x v="327"/>
    <x v="0"/>
  </r>
  <r>
    <x v="29"/>
    <d v="2016-04-03T00:00:00"/>
    <s v="Sunday"/>
    <x v="330"/>
    <n v="20.139999389648398"/>
    <x v="328"/>
    <x v="0"/>
  </r>
  <r>
    <x v="29"/>
    <d v="2016-04-04T00:00:00"/>
    <s v="Monday"/>
    <x v="331"/>
    <n v="13.210000038146999"/>
    <x v="329"/>
    <x v="0"/>
  </r>
  <r>
    <x v="29"/>
    <d v="2016-04-05T00:00:00"/>
    <s v="Tuesday"/>
    <x v="332"/>
    <n v="13.4099998474121"/>
    <x v="330"/>
    <x v="0"/>
  </r>
  <r>
    <x v="29"/>
    <d v="2016-04-06T00:00:00"/>
    <s v="Wednesday"/>
    <x v="333"/>
    <n v="12.420000076293899"/>
    <x v="331"/>
    <x v="0"/>
  </r>
  <r>
    <x v="29"/>
    <d v="2016-04-07T00:00:00"/>
    <s v="Thursday"/>
    <x v="334"/>
    <n v="13.199999809265099"/>
    <x v="332"/>
    <x v="0"/>
  </r>
  <r>
    <x v="29"/>
    <d v="2016-04-08T00:00:00"/>
    <s v="Friday"/>
    <x v="335"/>
    <n v="9.5399999618530291"/>
    <x v="333"/>
    <x v="0"/>
  </r>
  <r>
    <x v="29"/>
    <d v="2016-04-09T00:00:00"/>
    <s v="Saturday"/>
    <x v="336"/>
    <n v="9.1400003433227504"/>
    <x v="334"/>
    <x v="0"/>
  </r>
  <r>
    <x v="29"/>
    <d v="2016-04-10T00:00:00"/>
    <s v="Sunday"/>
    <x v="337"/>
    <n v="7.7300000190734899"/>
    <x v="335"/>
    <x v="0"/>
  </r>
  <r>
    <x v="29"/>
    <d v="2016-04-11T00:00:00"/>
    <s v="Monday"/>
    <x v="338"/>
    <n v="12.7200002670288"/>
    <x v="336"/>
    <x v="0"/>
  </r>
  <r>
    <x v="29"/>
    <d v="2016-04-12T00:00:00"/>
    <s v="Tuesday"/>
    <x v="339"/>
    <n v="0.20999999344348899"/>
    <x v="337"/>
    <x v="1"/>
  </r>
  <r>
    <x v="30"/>
    <d v="2016-04-01T00:00:00"/>
    <s v="Friday"/>
    <x v="51"/>
    <n v="0"/>
    <x v="338"/>
    <x v="1"/>
  </r>
  <r>
    <x v="30"/>
    <d v="2016-04-02T00:00:00"/>
    <s v="Saturday"/>
    <x v="51"/>
    <n v="0"/>
    <x v="338"/>
    <x v="1"/>
  </r>
  <r>
    <x v="30"/>
    <d v="2016-04-03T00:00:00"/>
    <s v="Sunday"/>
    <x v="51"/>
    <n v="0"/>
    <x v="338"/>
    <x v="1"/>
  </r>
  <r>
    <x v="30"/>
    <d v="2016-04-04T00:00:00"/>
    <s v="Monday"/>
    <x v="51"/>
    <n v="0"/>
    <x v="338"/>
    <x v="1"/>
  </r>
  <r>
    <x v="30"/>
    <d v="2016-04-05T00:00:00"/>
    <s v="Tuesday"/>
    <x v="51"/>
    <n v="0"/>
    <x v="338"/>
    <x v="1"/>
  </r>
  <r>
    <x v="30"/>
    <d v="2016-04-06T00:00:00"/>
    <s v="Wednesday"/>
    <x v="340"/>
    <n v="1.2799999713897701"/>
    <x v="339"/>
    <x v="1"/>
  </r>
  <r>
    <x v="30"/>
    <d v="2016-04-07T00:00:00"/>
    <s v="Thursday"/>
    <x v="341"/>
    <n v="3.4200000762939502"/>
    <x v="185"/>
    <x v="2"/>
  </r>
  <r>
    <x v="30"/>
    <d v="2016-04-08T00:00:00"/>
    <s v="Friday"/>
    <x v="342"/>
    <n v="9.1499996185302699"/>
    <x v="340"/>
    <x v="0"/>
  </r>
  <r>
    <x v="30"/>
    <d v="2016-04-09T00:00:00"/>
    <s v="Saturday"/>
    <x v="343"/>
    <n v="3.53999996185303"/>
    <x v="341"/>
    <x v="2"/>
  </r>
  <r>
    <x v="30"/>
    <d v="2016-04-10T00:00:00"/>
    <s v="Sunday"/>
    <x v="344"/>
    <n v="1.6799999475479099"/>
    <x v="342"/>
    <x v="1"/>
  </r>
  <r>
    <x v="30"/>
    <d v="2016-04-11T00:00:00"/>
    <s v="Monday"/>
    <x v="345"/>
    <n v="1.08000004291534"/>
    <x v="343"/>
    <x v="1"/>
  </r>
  <r>
    <x v="30"/>
    <d v="2016-04-12T00:00:00"/>
    <s v="Tuesday"/>
    <x v="51"/>
    <n v="0"/>
    <x v="125"/>
    <x v="1"/>
  </r>
  <r>
    <x v="31"/>
    <d v="2016-04-01T00:00:00"/>
    <s v="Friday"/>
    <x v="346"/>
    <n v="11.2399997711182"/>
    <x v="344"/>
    <x v="0"/>
  </r>
  <r>
    <x v="31"/>
    <d v="2016-04-02T00:00:00"/>
    <s v="Saturday"/>
    <x v="347"/>
    <n v="2.6600000858306898"/>
    <x v="345"/>
    <x v="1"/>
  </r>
  <r>
    <x v="31"/>
    <d v="2016-04-03T00:00:00"/>
    <s v="Sunday"/>
    <x v="348"/>
    <n v="7.2600002288818404"/>
    <x v="346"/>
    <x v="2"/>
  </r>
  <r>
    <x v="31"/>
    <d v="2016-04-04T00:00:00"/>
    <s v="Monday"/>
    <x v="349"/>
    <n v="11.050000190734901"/>
    <x v="347"/>
    <x v="0"/>
  </r>
  <r>
    <x v="31"/>
    <d v="2016-04-05T00:00:00"/>
    <s v="Tuesday"/>
    <x v="350"/>
    <n v="10.189999580383301"/>
    <x v="348"/>
    <x v="0"/>
  </r>
  <r>
    <x v="31"/>
    <d v="2016-04-06T00:00:00"/>
    <s v="Wednesday"/>
    <x v="351"/>
    <n v="7.2399997711181596"/>
    <x v="349"/>
    <x v="2"/>
  </r>
  <r>
    <x v="31"/>
    <d v="2016-04-07T00:00:00"/>
    <s v="Thursday"/>
    <x v="352"/>
    <n v="7.71000003814697"/>
    <x v="350"/>
    <x v="2"/>
  </r>
  <r>
    <x v="31"/>
    <d v="2016-04-08T00:00:00"/>
    <s v="Friday"/>
    <x v="353"/>
    <n v="6.6199998855590803"/>
    <x v="351"/>
    <x v="2"/>
  </r>
  <r>
    <x v="31"/>
    <d v="2016-04-09T00:00:00"/>
    <s v="Saturday"/>
    <x v="354"/>
    <n v="1.7799999713897701"/>
    <x v="352"/>
    <x v="1"/>
  </r>
  <r>
    <x v="31"/>
    <d v="2016-04-10T00:00:00"/>
    <s v="Sunday"/>
    <x v="355"/>
    <n v="2.0899999141693102"/>
    <x v="353"/>
    <x v="1"/>
  </r>
  <r>
    <x v="31"/>
    <d v="2016-04-11T00:00:00"/>
    <s v="Monday"/>
    <x v="356"/>
    <n v="7.0100002288818404"/>
    <x v="354"/>
    <x v="2"/>
  </r>
  <r>
    <x v="31"/>
    <d v="2016-04-12T00:00:00"/>
    <s v="Tuesday"/>
    <x v="357"/>
    <n v="2.5699999332428001"/>
    <x v="230"/>
    <x v="1"/>
  </r>
  <r>
    <x v="32"/>
    <d v="2016-04-01T00:00:00"/>
    <s v="Friday"/>
    <x v="358"/>
    <n v="1.70000004768372"/>
    <x v="196"/>
    <x v="1"/>
  </r>
  <r>
    <x v="32"/>
    <d v="2016-04-02T00:00:00"/>
    <s v="Saturday"/>
    <x v="359"/>
    <n v="2.7300000190734899"/>
    <x v="355"/>
    <x v="1"/>
  </r>
  <r>
    <x v="32"/>
    <d v="2016-04-03T00:00:00"/>
    <s v="Sunday"/>
    <x v="360"/>
    <n v="1.8600000143051101"/>
    <x v="356"/>
    <x v="1"/>
  </r>
  <r>
    <x v="32"/>
    <d v="2016-04-04T00:00:00"/>
    <s v="Monday"/>
    <x v="361"/>
    <n v="2.46000003814697"/>
    <x v="357"/>
    <x v="1"/>
  </r>
  <r>
    <x v="32"/>
    <d v="2016-04-05T00:00:00"/>
    <s v="Tuesday"/>
    <x v="362"/>
    <n v="5.3299999237060502"/>
    <x v="358"/>
    <x v="2"/>
  </r>
  <r>
    <x v="32"/>
    <d v="2016-04-06T00:00:00"/>
    <s v="Wednesday"/>
    <x v="100"/>
    <n v="1.6399999856948899"/>
    <x v="359"/>
    <x v="1"/>
  </r>
  <r>
    <x v="32"/>
    <d v="2016-04-07T00:00:00"/>
    <s v="Thursday"/>
    <x v="363"/>
    <n v="2.2000000476837198"/>
    <x v="300"/>
    <x v="1"/>
  </r>
  <r>
    <x v="32"/>
    <d v="2016-04-08T00:00:00"/>
    <s v="Friday"/>
    <x v="364"/>
    <n v="1.1000000238418599"/>
    <x v="360"/>
    <x v="1"/>
  </r>
  <r>
    <x v="33"/>
    <d v="2016-04-01T00:00:00"/>
    <s v="Friday"/>
    <x v="365"/>
    <n v="2.9400000572204599"/>
    <x v="361"/>
    <x v="1"/>
  </r>
  <r>
    <x v="33"/>
    <d v="2016-04-02T00:00:00"/>
    <s v="Saturday"/>
    <x v="366"/>
    <n v="5.4099998474121103"/>
    <x v="362"/>
    <x v="2"/>
  </r>
  <r>
    <x v="33"/>
    <d v="2016-04-03T00:00:00"/>
    <s v="Sunday"/>
    <x v="367"/>
    <n v="4.6300001144409197"/>
    <x v="363"/>
    <x v="2"/>
  </r>
  <r>
    <x v="33"/>
    <d v="2016-04-04T00:00:00"/>
    <s v="Monday"/>
    <x v="368"/>
    <n v="2.4500000476837198"/>
    <x v="364"/>
    <x v="1"/>
  </r>
  <r>
    <x v="33"/>
    <d v="2016-04-05T00:00:00"/>
    <s v="Tuesday"/>
    <x v="369"/>
    <n v="1.4900000095367401"/>
    <x v="304"/>
    <x v="1"/>
  </r>
  <r>
    <x v="33"/>
    <d v="2016-04-06T00:00:00"/>
    <s v="Wednesday"/>
    <x v="370"/>
    <n v="1.3600000143051101"/>
    <x v="365"/>
    <x v="1"/>
  </r>
  <r>
    <x v="33"/>
    <d v="2016-04-07T00:00:00"/>
    <s v="Thursday"/>
    <x v="371"/>
    <n v="0.82999998331069902"/>
    <x v="366"/>
    <x v="1"/>
  </r>
  <r>
    <x v="33"/>
    <d v="2016-04-08T00:00:00"/>
    <s v="Friday"/>
    <x v="372"/>
    <n v="0.93999999761581399"/>
    <x v="120"/>
    <x v="1"/>
  </r>
  <r>
    <x v="33"/>
    <d v="2016-04-09T00:00:00"/>
    <s v="Saturday"/>
    <x v="373"/>
    <n v="0.64999997615814198"/>
    <x v="367"/>
    <x v="1"/>
  </r>
  <r>
    <x v="33"/>
    <d v="2016-04-10T00:00:00"/>
    <s v="Sunday"/>
    <x v="374"/>
    <n v="2.9500000476837198"/>
    <x v="368"/>
    <x v="1"/>
  </r>
  <r>
    <x v="33"/>
    <d v="2016-04-11T00:00:00"/>
    <s v="Monday"/>
    <x v="375"/>
    <n v="0.109999999403954"/>
    <x v="369"/>
    <x v="1"/>
  </r>
  <r>
    <x v="33"/>
    <d v="2016-04-12T00:00:00"/>
    <s v="Tuesday"/>
    <x v="376"/>
    <n v="9.9999997764825804E-3"/>
    <x v="370"/>
    <x v="1"/>
  </r>
  <r>
    <x v="34"/>
    <d v="2016-04-01T00:00:00"/>
    <s v="Friday"/>
    <x v="377"/>
    <n v="15.819999694824199"/>
    <x v="371"/>
    <x v="0"/>
  </r>
  <r>
    <x v="34"/>
    <d v="2016-04-02T00:00:00"/>
    <s v="Saturday"/>
    <x v="378"/>
    <n v="23.389999389648398"/>
    <x v="372"/>
    <x v="0"/>
  </r>
  <r>
    <x v="34"/>
    <d v="2016-04-03T00:00:00"/>
    <s v="Sunday"/>
    <x v="379"/>
    <n v="8.1899995803833008"/>
    <x v="373"/>
    <x v="0"/>
  </r>
  <r>
    <x v="34"/>
    <d v="2016-04-04T00:00:00"/>
    <s v="Monday"/>
    <x v="380"/>
    <n v="18.409999847412099"/>
    <x v="374"/>
    <x v="0"/>
  </r>
  <r>
    <x v="34"/>
    <d v="2016-04-05T00:00:00"/>
    <s v="Tuesday"/>
    <x v="381"/>
    <n v="8.1199998855590803"/>
    <x v="375"/>
    <x v="0"/>
  </r>
  <r>
    <x v="34"/>
    <d v="2016-04-06T00:00:00"/>
    <s v="Wednesday"/>
    <x v="382"/>
    <n v="20.909999847412099"/>
    <x v="376"/>
    <x v="0"/>
  </r>
  <r>
    <x v="34"/>
    <d v="2016-04-07T00:00:00"/>
    <s v="Thursday"/>
    <x v="383"/>
    <n v="8.4200000762939506"/>
    <x v="377"/>
    <x v="0"/>
  </r>
  <r>
    <x v="34"/>
    <d v="2016-04-08T00:00:00"/>
    <s v="Friday"/>
    <x v="384"/>
    <n v="20.389999389648398"/>
    <x v="378"/>
    <x v="0"/>
  </r>
  <r>
    <x v="34"/>
    <d v="2016-04-09T00:00:00"/>
    <s v="Saturday"/>
    <x v="385"/>
    <n v="8.0699996948242205"/>
    <x v="379"/>
    <x v="0"/>
  </r>
  <r>
    <x v="34"/>
    <d v="2016-04-10T00:00:00"/>
    <s v="Sunday"/>
    <x v="386"/>
    <n v="27.530000686645501"/>
    <x v="380"/>
    <x v="0"/>
  </r>
  <r>
    <x v="34"/>
    <d v="2016-04-11T00:00:00"/>
    <s v="Monday"/>
    <x v="387"/>
    <n v="8.0600004196166992"/>
    <x v="381"/>
    <x v="0"/>
  </r>
  <r>
    <x v="34"/>
    <d v="2016-04-12T00:00:00"/>
    <s v="Tuesday"/>
    <x v="388"/>
    <n v="1.7799999713897701"/>
    <x v="38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3:J7" firstHeaderRow="1" firstDataRow="1" firstDataCol="1"/>
  <pivotFields count="7">
    <pivotField dataField="1" showAll="0"/>
    <pivotField numFmtId="14" showAll="0"/>
    <pivotField showAll="0"/>
    <pivotField numFmtId="1" showAll="0"/>
    <pivotField numFmtId="164" showAll="0"/>
    <pivotField numFmtId="1" showAll="0"/>
    <pivotField axis="axisRow"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User_Id">
  <location ref="A3:B39" firstHeaderRow="1" firstDataRow="1" firstDataCol="1"/>
  <pivotFields count="6"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umFmtId="14" showAll="0"/>
    <pivotField showAll="0"/>
    <pivotField dataField="1" numFmtId="2" showAll="0"/>
    <pivotField numFmtId="164" showAll="0"/>
    <pivotField numFmtId="1" showAll="0"/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Average of Total_Steps" fld="3" subtotal="average" baseField="0" baseItem="0" numFmtId="1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39" firstHeaderRow="0" firstDataRow="1" firstDataCol="1"/>
  <pivotFields count="7"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umFmtId="14" showAll="0"/>
    <pivotField showAll="0"/>
    <pivotField dataField="1" numFmtId="1" showAll="0">
      <items count="390">
        <item x="51"/>
        <item sd="0" x="193"/>
        <item x="52"/>
        <item x="181"/>
        <item x="290"/>
        <item x="192"/>
        <item x="376"/>
        <item x="68"/>
        <item x="185"/>
        <item x="318"/>
        <item x="282"/>
        <item x="375"/>
        <item x="198"/>
        <item x="18"/>
        <item x="223"/>
        <item x="339"/>
        <item x="156"/>
        <item x="328"/>
        <item x="64"/>
        <item x="326"/>
        <item x="149"/>
        <item x="63"/>
        <item x="20"/>
        <item x="115"/>
        <item x="184"/>
        <item x="31"/>
        <item x="92"/>
        <item x="373"/>
        <item x="32"/>
        <item x="67"/>
        <item x="82"/>
        <item x="62"/>
        <item x="234"/>
        <item x="371"/>
        <item x="47"/>
        <item x="30"/>
        <item x="364"/>
        <item x="372"/>
        <item x="251"/>
        <item x="23"/>
        <item x="27"/>
        <item x="285"/>
        <item x="345"/>
        <item x="195"/>
        <item x="24"/>
        <item x="19"/>
        <item x="95"/>
        <item x="22"/>
        <item x="340"/>
        <item x="319"/>
        <item x="162"/>
        <item x="21"/>
        <item x="284"/>
        <item x="127"/>
        <item x="100"/>
        <item x="280"/>
        <item x="66"/>
        <item x="166"/>
        <item x="370"/>
        <item x="183"/>
        <item x="358"/>
        <item x="116"/>
        <item x="61"/>
        <item x="354"/>
        <item x="189"/>
        <item x="98"/>
        <item x="210"/>
        <item x="83"/>
        <item x="369"/>
        <item x="388"/>
        <item x="60"/>
        <item x="360"/>
        <item x="216"/>
        <item x="65"/>
        <item x="344"/>
        <item x="211"/>
        <item x="81"/>
        <item x="355"/>
        <item x="186"/>
        <item x="87"/>
        <item x="363"/>
        <item x="41"/>
        <item x="50"/>
        <item x="270"/>
        <item x="28"/>
        <item x="250"/>
        <item x="180"/>
        <item x="152"/>
        <item x="89"/>
        <item x="148"/>
        <item x="215"/>
        <item x="361"/>
        <item x="86"/>
        <item x="225"/>
        <item x="59"/>
        <item x="151"/>
        <item x="357"/>
        <item x="213"/>
        <item x="91"/>
        <item x="347"/>
        <item x="96"/>
        <item x="196"/>
        <item x="260"/>
        <item x="359"/>
        <item x="34"/>
        <item x="147"/>
        <item x="88"/>
        <item x="368"/>
        <item x="35"/>
        <item x="126"/>
        <item x="289"/>
        <item x="167"/>
        <item x="220"/>
        <item x="217"/>
        <item x="171"/>
        <item x="57"/>
        <item x="267"/>
        <item x="164"/>
        <item x="132"/>
        <item x="138"/>
        <item x="25"/>
        <item x="365"/>
        <item x="257"/>
        <item x="374"/>
        <item x="38"/>
        <item x="137"/>
        <item x="130"/>
        <item x="212"/>
        <item x="275"/>
        <item x="97"/>
        <item x="93"/>
        <item x="54"/>
        <item x="179"/>
        <item x="190"/>
        <item x="90"/>
        <item x="341"/>
        <item x="124"/>
        <item x="53"/>
        <item x="224"/>
        <item x="170"/>
        <item x="343"/>
        <item x="49"/>
        <item x="168"/>
        <item x="214"/>
        <item x="191"/>
        <item x="56"/>
        <item x="70"/>
        <item x="231"/>
        <item x="150"/>
        <item x="135"/>
        <item x="187"/>
        <item x="163"/>
        <item x="258"/>
        <item x="199"/>
        <item x="85"/>
        <item x="58"/>
        <item x="229"/>
        <item x="157"/>
        <item x="128"/>
        <item x="131"/>
        <item x="304"/>
        <item x="153"/>
        <item x="222"/>
        <item x="320"/>
        <item x="172"/>
        <item x="226"/>
        <item x="327"/>
        <item x="232"/>
        <item x="161"/>
        <item x="33"/>
        <item x="133"/>
        <item x="173"/>
        <item x="248"/>
        <item x="235"/>
        <item x="209"/>
        <item x="55"/>
        <item x="176"/>
        <item x="244"/>
        <item x="221"/>
        <item x="37"/>
        <item x="278"/>
        <item x="160"/>
        <item x="219"/>
        <item x="242"/>
        <item x="84"/>
        <item x="80"/>
        <item x="103"/>
        <item x="228"/>
        <item x="197"/>
        <item x="362"/>
        <item x="48"/>
        <item x="174"/>
        <item x="218"/>
        <item x="237"/>
        <item x="94"/>
        <item x="165"/>
        <item x="122"/>
        <item x="238"/>
        <item x="283"/>
        <item x="367"/>
        <item x="188"/>
        <item x="325"/>
        <item x="120"/>
        <item x="322"/>
        <item x="134"/>
        <item x="264"/>
        <item x="316"/>
        <item x="169"/>
        <item x="271"/>
        <item x="175"/>
        <item x="321"/>
        <item x="106"/>
        <item x="125"/>
        <item x="236"/>
        <item x="243"/>
        <item x="139"/>
        <item x="129"/>
        <item x="117"/>
        <item x="178"/>
        <item x="241"/>
        <item x="45"/>
        <item x="230"/>
        <item x="43"/>
        <item x="201"/>
        <item x="245"/>
        <item x="227"/>
        <item x="204"/>
        <item x="104"/>
        <item x="353"/>
        <item x="206"/>
        <item x="203"/>
        <item x="144"/>
        <item x="194"/>
        <item x="119"/>
        <item x="182"/>
        <item x="366"/>
        <item x="273"/>
        <item x="159"/>
        <item x="136"/>
        <item x="233"/>
        <item x="356"/>
        <item x="252"/>
        <item x="155"/>
        <item x="276"/>
        <item x="265"/>
        <item x="200"/>
        <item x="351"/>
        <item x="208"/>
        <item x="348"/>
        <item x="26"/>
        <item x="202"/>
        <item x="286"/>
        <item x="121"/>
        <item x="279"/>
        <item x="324"/>
        <item x="118"/>
        <item x="352"/>
        <item x="281"/>
        <item x="269"/>
        <item x="274"/>
        <item x="263"/>
        <item x="42"/>
        <item x="256"/>
        <item x="36"/>
        <item x="114"/>
        <item x="78"/>
        <item x="9"/>
        <item x="16"/>
        <item x="205"/>
        <item x="113"/>
        <item x="79"/>
        <item x="108"/>
        <item x="337"/>
        <item x="314"/>
        <item x="302"/>
        <item x="13"/>
        <item x="111"/>
        <item x="145"/>
        <item x="107"/>
        <item x="101"/>
        <item x="110"/>
        <item x="239"/>
        <item x="158"/>
        <item x="313"/>
        <item x="261"/>
        <item x="293"/>
        <item x="177"/>
        <item x="268"/>
        <item x="102"/>
        <item x="387"/>
        <item x="381"/>
        <item x="277"/>
        <item x="73"/>
        <item x="383"/>
        <item x="207"/>
        <item x="5"/>
        <item x="306"/>
        <item x="17"/>
        <item x="0"/>
        <item x="266"/>
        <item x="109"/>
        <item x="247"/>
        <item x="71"/>
        <item x="336"/>
        <item x="44"/>
        <item x="99"/>
        <item x="8"/>
        <item x="253"/>
        <item x="317"/>
        <item x="140"/>
        <item x="305"/>
        <item x="335"/>
        <item x="287"/>
        <item x="259"/>
        <item x="141"/>
        <item x="12"/>
        <item x="297"/>
        <item x="342"/>
        <item x="4"/>
        <item x="309"/>
        <item x="240"/>
        <item x="315"/>
        <item x="254"/>
        <item x="6"/>
        <item x="7"/>
        <item x="142"/>
        <item x="295"/>
        <item x="303"/>
        <item x="249"/>
        <item x="15"/>
        <item x="294"/>
        <item x="298"/>
        <item x="154"/>
        <item x="301"/>
        <item x="14"/>
        <item x="312"/>
        <item x="2"/>
        <item x="350"/>
        <item x="40"/>
        <item x="76"/>
        <item x="3"/>
        <item x="299"/>
        <item x="310"/>
        <item x="69"/>
        <item x="46"/>
        <item x="349"/>
        <item x="288"/>
        <item x="246"/>
        <item x="292"/>
        <item x="311"/>
        <item x="123"/>
        <item x="346"/>
        <item x="300"/>
        <item x="10"/>
        <item x="146"/>
        <item x="323"/>
        <item x="11"/>
        <item x="262"/>
        <item x="379"/>
        <item x="308"/>
        <item x="72"/>
        <item x="74"/>
        <item x="143"/>
        <item x="255"/>
        <item x="105"/>
        <item x="291"/>
        <item x="338"/>
        <item x="112"/>
        <item x="77"/>
        <item x="333"/>
        <item x="385"/>
        <item x="307"/>
        <item x="334"/>
        <item x="332"/>
        <item x="331"/>
        <item x="1"/>
        <item x="75"/>
        <item x="29"/>
        <item x="377"/>
        <item x="296"/>
        <item x="272"/>
        <item x="329"/>
        <item x="39"/>
        <item x="380"/>
        <item x="384"/>
        <item x="382"/>
        <item x="330"/>
        <item x="378"/>
        <item x="386"/>
        <item t="default"/>
      </items>
    </pivotField>
    <pivotField numFmtId="164" showAll="0"/>
    <pivotField dataField="1" numFmtId="1" showAll="0">
      <items count="384">
        <item x="125"/>
        <item x="17"/>
        <item x="150"/>
        <item x="285"/>
        <item x="56"/>
        <item x="182"/>
        <item x="46"/>
        <item x="200"/>
        <item x="92"/>
        <item x="326"/>
        <item x="258"/>
        <item x="36"/>
        <item x="233"/>
        <item x="370"/>
        <item x="281"/>
        <item x="222"/>
        <item x="294"/>
        <item x="101"/>
        <item x="337"/>
        <item x="305"/>
        <item x="382"/>
        <item x="68"/>
        <item x="314"/>
        <item x="80"/>
        <item x="129"/>
        <item x="149"/>
        <item x="148"/>
        <item x="82"/>
        <item x="19"/>
        <item x="30"/>
        <item x="31"/>
        <item x="139"/>
        <item x="210"/>
        <item x="22"/>
        <item x="29"/>
        <item x="23"/>
        <item x="93"/>
        <item x="26"/>
        <item x="83"/>
        <item x="116"/>
        <item x="21"/>
        <item x="49"/>
        <item x="50"/>
        <item x="20"/>
        <item x="33"/>
        <item x="18"/>
        <item x="343"/>
        <item x="87"/>
        <item x="91"/>
        <item x="81"/>
        <item x="32"/>
        <item x="89"/>
        <item x="86"/>
        <item x="88"/>
        <item x="338"/>
        <item x="145"/>
        <item x="27"/>
        <item x="35"/>
        <item x="249"/>
        <item x="140"/>
        <item x="270"/>
        <item x="24"/>
        <item x="96"/>
        <item x="268"/>
        <item x="90"/>
        <item x="146"/>
        <item x="99"/>
        <item x="85"/>
        <item x="25"/>
        <item x="34"/>
        <item x="117"/>
        <item x="28"/>
        <item x="84"/>
        <item x="339"/>
        <item x="248"/>
        <item x="97"/>
        <item x="141"/>
        <item x="48"/>
        <item x="316"/>
        <item x="142"/>
        <item x="143"/>
        <item x="342"/>
        <item x="224"/>
        <item x="255"/>
        <item x="147"/>
        <item x="94"/>
        <item x="256"/>
        <item x="123"/>
        <item x="369"/>
        <item x="124"/>
        <item x="13"/>
        <item x="98"/>
        <item x="185"/>
        <item x="183"/>
        <item x="192"/>
        <item x="195"/>
        <item x="187"/>
        <item x="144"/>
        <item x="134"/>
        <item x="317"/>
        <item x="324"/>
        <item x="53"/>
        <item x="16"/>
        <item x="360"/>
        <item x="137"/>
        <item x="132"/>
        <item x="0"/>
        <item x="5"/>
        <item x="284"/>
        <item x="52"/>
        <item x="341"/>
        <item x="289"/>
        <item x="8"/>
        <item x="118"/>
        <item x="283"/>
        <item x="9"/>
        <item x="130"/>
        <item x="228"/>
        <item x="12"/>
        <item x="7"/>
        <item x="186"/>
        <item x="227"/>
        <item x="133"/>
        <item x="230"/>
        <item x="15"/>
        <item x="4"/>
        <item x="55"/>
        <item x="6"/>
        <item x="367"/>
        <item x="250"/>
        <item x="14"/>
        <item x="225"/>
        <item x="223"/>
        <item x="274"/>
        <item x="231"/>
        <item x="121"/>
        <item x="126"/>
        <item x="104"/>
        <item x="3"/>
        <item x="105"/>
        <item x="2"/>
        <item x="95"/>
        <item x="197"/>
        <item x="120"/>
        <item x="201"/>
        <item x="366"/>
        <item x="51"/>
        <item x="47"/>
        <item x="54"/>
        <item x="288"/>
        <item x="188"/>
        <item x="163"/>
        <item x="191"/>
        <item x="115"/>
        <item x="135"/>
        <item x="297"/>
        <item x="254"/>
        <item x="157"/>
        <item x="10"/>
        <item x="211"/>
        <item x="107"/>
        <item x="136"/>
        <item x="70"/>
        <item x="102"/>
        <item x="252"/>
        <item x="119"/>
        <item x="299"/>
        <item x="110"/>
        <item x="280"/>
        <item x="138"/>
        <item x="257"/>
        <item x="131"/>
        <item x="226"/>
        <item x="11"/>
        <item x="251"/>
        <item x="64"/>
        <item x="109"/>
        <item x="108"/>
        <item x="304"/>
        <item x="198"/>
        <item x="112"/>
        <item x="365"/>
        <item x="298"/>
        <item x="203"/>
        <item x="63"/>
        <item x="213"/>
        <item x="202"/>
        <item x="247"/>
        <item x="232"/>
        <item x="1"/>
        <item x="301"/>
        <item x="340"/>
        <item x="114"/>
        <item x="302"/>
        <item x="205"/>
        <item x="103"/>
        <item x="296"/>
        <item x="207"/>
        <item x="62"/>
        <item x="100"/>
        <item x="287"/>
        <item x="219"/>
        <item x="204"/>
        <item x="215"/>
        <item x="282"/>
        <item x="212"/>
        <item x="364"/>
        <item x="303"/>
        <item x="320"/>
        <item x="229"/>
        <item x="209"/>
        <item x="295"/>
        <item x="253"/>
        <item x="368"/>
        <item x="67"/>
        <item x="122"/>
        <item x="194"/>
        <item x="361"/>
        <item x="271"/>
        <item x="193"/>
        <item x="189"/>
        <item x="221"/>
        <item x="218"/>
        <item x="206"/>
        <item x="214"/>
        <item x="217"/>
        <item x="111"/>
        <item x="208"/>
        <item x="61"/>
        <item x="359"/>
        <item x="196"/>
        <item x="216"/>
        <item x="60"/>
        <item x="199"/>
        <item x="71"/>
        <item x="356"/>
        <item x="318"/>
        <item x="220"/>
        <item x="300"/>
        <item x="106"/>
        <item x="319"/>
        <item x="66"/>
        <item x="65"/>
        <item x="40"/>
        <item x="272"/>
        <item x="59"/>
        <item x="184"/>
        <item x="78"/>
        <item x="357"/>
        <item x="152"/>
        <item x="275"/>
        <item x="190"/>
        <item x="265"/>
        <item x="113"/>
        <item x="315"/>
        <item x="181"/>
        <item x="355"/>
        <item x="323"/>
        <item x="325"/>
        <item x="79"/>
        <item x="153"/>
        <item x="306"/>
        <item x="307"/>
        <item x="76"/>
        <item x="72"/>
        <item x="293"/>
        <item x="57"/>
        <item x="352"/>
        <item x="312"/>
        <item x="276"/>
        <item x="353"/>
        <item x="69"/>
        <item x="279"/>
        <item x="363"/>
        <item x="309"/>
        <item x="246"/>
        <item x="335"/>
        <item x="273"/>
        <item x="313"/>
        <item x="345"/>
        <item x="334"/>
        <item x="74"/>
        <item x="73"/>
        <item x="322"/>
        <item x="264"/>
        <item x="277"/>
        <item x="58"/>
        <item x="358"/>
        <item x="333"/>
        <item x="77"/>
        <item x="180"/>
        <item x="381"/>
        <item x="242"/>
        <item x="375"/>
        <item x="310"/>
        <item x="240"/>
        <item x="321"/>
        <item x="311"/>
        <item x="128"/>
        <item x="269"/>
        <item x="234"/>
        <item x="172"/>
        <item x="236"/>
        <item x="235"/>
        <item x="237"/>
        <item x="42"/>
        <item x="44"/>
        <item x="239"/>
        <item x="241"/>
        <item x="377"/>
        <item x="175"/>
        <item x="168"/>
        <item x="158"/>
        <item x="243"/>
        <item x="151"/>
        <item x="362"/>
        <item x="154"/>
        <item x="75"/>
        <item x="177"/>
        <item x="286"/>
        <item x="308"/>
        <item x="336"/>
        <item x="41"/>
        <item x="174"/>
        <item x="278"/>
        <item x="331"/>
        <item x="162"/>
        <item x="161"/>
        <item x="330"/>
        <item x="332"/>
        <item x="43"/>
        <item x="329"/>
        <item x="245"/>
        <item x="176"/>
        <item x="179"/>
        <item x="45"/>
        <item x="346"/>
        <item x="173"/>
        <item x="37"/>
        <item x="171"/>
        <item x="160"/>
        <item x="238"/>
        <item x="327"/>
        <item x="267"/>
        <item x="169"/>
        <item x="261"/>
        <item x="39"/>
        <item x="170"/>
        <item x="165"/>
        <item x="262"/>
        <item x="166"/>
        <item x="371"/>
        <item x="244"/>
        <item x="259"/>
        <item x="374"/>
        <item x="344"/>
        <item x="164"/>
        <item x="328"/>
        <item x="156"/>
        <item x="351"/>
        <item x="159"/>
        <item x="263"/>
        <item x="354"/>
        <item x="349"/>
        <item x="266"/>
        <item x="155"/>
        <item x="350"/>
        <item x="379"/>
        <item x="292"/>
        <item x="373"/>
        <item x="291"/>
        <item x="167"/>
        <item x="38"/>
        <item x="178"/>
        <item x="376"/>
        <item x="348"/>
        <item x="378"/>
        <item x="372"/>
        <item x="347"/>
        <item x="290"/>
        <item x="260"/>
        <item x="380"/>
        <item x="127"/>
        <item t="default"/>
      </items>
    </pivotField>
    <pivotField showAll="0"/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alories" fld="5" subtotal="average" baseField="0" baseItem="0" numFmtId="1"/>
    <dataField name="Average of Total_Steps" fld="3" subtotal="average" baseField="0" baseItem="0" numFmtId="1"/>
  </dataFields>
  <formats count="4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0.5546875" style="7" bestFit="1" customWidth="1"/>
    <col min="3" max="3" width="21" bestFit="1" customWidth="1"/>
    <col min="9" max="9" width="12.5546875" bestFit="1" customWidth="1"/>
    <col min="10" max="10" width="10.44140625" bestFit="1" customWidth="1"/>
  </cols>
  <sheetData>
    <row r="1" spans="1:16" ht="18" x14ac:dyDescent="0.35">
      <c r="A1" s="15" t="s">
        <v>9</v>
      </c>
      <c r="B1" s="15"/>
      <c r="C1" s="16" t="s">
        <v>10</v>
      </c>
      <c r="D1" s="16"/>
      <c r="E1" s="16"/>
      <c r="F1" s="16"/>
      <c r="G1" s="16"/>
      <c r="I1" s="17" t="s">
        <v>16</v>
      </c>
      <c r="J1" s="17"/>
    </row>
    <row r="3" spans="1:16" x14ac:dyDescent="0.3">
      <c r="A3" s="8" t="s">
        <v>18</v>
      </c>
      <c r="B3" s="7" t="s">
        <v>8</v>
      </c>
      <c r="I3" s="8" t="s">
        <v>6</v>
      </c>
      <c r="J3" t="s">
        <v>15</v>
      </c>
      <c r="K3" s="16" t="s">
        <v>17</v>
      </c>
      <c r="L3" s="16"/>
      <c r="M3" s="16"/>
      <c r="N3" s="16"/>
      <c r="O3" s="16"/>
      <c r="P3" s="16"/>
    </row>
    <row r="4" spans="1:16" x14ac:dyDescent="0.3">
      <c r="A4" s="9">
        <v>1503960366</v>
      </c>
      <c r="B4" s="7">
        <v>11640.526315789473</v>
      </c>
      <c r="I4" s="9" t="s">
        <v>12</v>
      </c>
      <c r="J4" s="10">
        <v>126</v>
      </c>
    </row>
    <row r="5" spans="1:16" x14ac:dyDescent="0.3">
      <c r="A5" s="9">
        <v>1624580081</v>
      </c>
      <c r="B5" s="7">
        <v>4226.2631578947367</v>
      </c>
      <c r="I5" s="9" t="s">
        <v>13</v>
      </c>
      <c r="J5" s="10">
        <v>197</v>
      </c>
    </row>
    <row r="6" spans="1:16" x14ac:dyDescent="0.3">
      <c r="A6" s="9">
        <v>1644430081</v>
      </c>
      <c r="B6" s="7">
        <v>9274.7999999999993</v>
      </c>
      <c r="I6" s="9" t="s">
        <v>14</v>
      </c>
      <c r="J6" s="10">
        <v>134</v>
      </c>
    </row>
    <row r="7" spans="1:16" x14ac:dyDescent="0.3">
      <c r="A7" s="9">
        <v>1844505072</v>
      </c>
      <c r="B7" s="7">
        <v>3640.5833333333335</v>
      </c>
      <c r="I7" s="9" t="s">
        <v>7</v>
      </c>
      <c r="J7" s="10">
        <v>457</v>
      </c>
    </row>
    <row r="8" spans="1:16" x14ac:dyDescent="0.3">
      <c r="A8" s="9">
        <v>1927972279</v>
      </c>
      <c r="B8" s="7">
        <v>2180.8333333333335</v>
      </c>
    </row>
    <row r="9" spans="1:16" x14ac:dyDescent="0.3">
      <c r="A9" s="9">
        <v>2022484408</v>
      </c>
      <c r="B9" s="7">
        <v>12174.916666666666</v>
      </c>
    </row>
    <row r="10" spans="1:16" x14ac:dyDescent="0.3">
      <c r="A10" s="9">
        <v>2026352035</v>
      </c>
      <c r="B10" s="7">
        <v>3392.75</v>
      </c>
    </row>
    <row r="11" spans="1:16" x14ac:dyDescent="0.3">
      <c r="A11" s="9">
        <v>2320127002</v>
      </c>
      <c r="B11" s="7">
        <v>3138.4166666666665</v>
      </c>
    </row>
    <row r="12" spans="1:16" x14ac:dyDescent="0.3">
      <c r="A12" s="9">
        <v>2347167796</v>
      </c>
      <c r="B12" s="7">
        <v>9800.0666666666675</v>
      </c>
    </row>
    <row r="13" spans="1:16" x14ac:dyDescent="0.3">
      <c r="A13" s="9">
        <v>2873212765</v>
      </c>
      <c r="B13" s="7">
        <v>6636.583333333333</v>
      </c>
    </row>
    <row r="14" spans="1:16" x14ac:dyDescent="0.3">
      <c r="A14" s="9">
        <v>2891001357</v>
      </c>
      <c r="B14" s="7">
        <v>773.625</v>
      </c>
    </row>
    <row r="15" spans="1:16" x14ac:dyDescent="0.3">
      <c r="A15" s="9">
        <v>3372868164</v>
      </c>
      <c r="B15" s="7">
        <v>6127.5</v>
      </c>
    </row>
    <row r="16" spans="1:16" x14ac:dyDescent="0.3">
      <c r="A16" s="9">
        <v>3977333714</v>
      </c>
      <c r="B16" s="7">
        <v>8663.9166666666661</v>
      </c>
    </row>
    <row r="17" spans="1:2" x14ac:dyDescent="0.3">
      <c r="A17" s="9">
        <v>4020332650</v>
      </c>
      <c r="B17" s="7">
        <v>5776.59375</v>
      </c>
    </row>
    <row r="18" spans="1:2" x14ac:dyDescent="0.3">
      <c r="A18" s="9">
        <v>4057192912</v>
      </c>
      <c r="B18" s="7">
        <v>1887.21875</v>
      </c>
    </row>
    <row r="19" spans="1:2" x14ac:dyDescent="0.3">
      <c r="A19" s="9">
        <v>4319703577</v>
      </c>
      <c r="B19" s="7">
        <v>7820.583333333333</v>
      </c>
    </row>
    <row r="20" spans="1:2" x14ac:dyDescent="0.3">
      <c r="A20" s="9">
        <v>4388161847</v>
      </c>
      <c r="B20" s="7">
        <v>0</v>
      </c>
    </row>
    <row r="21" spans="1:2" x14ac:dyDescent="0.3">
      <c r="A21" s="9">
        <v>4445114986</v>
      </c>
      <c r="B21" s="7">
        <v>4293.0666666666666</v>
      </c>
    </row>
    <row r="22" spans="1:2" x14ac:dyDescent="0.3">
      <c r="A22" s="9">
        <v>4558609924</v>
      </c>
      <c r="B22" s="7">
        <v>5785.25</v>
      </c>
    </row>
    <row r="23" spans="1:2" x14ac:dyDescent="0.3">
      <c r="A23" s="9">
        <v>4702921684</v>
      </c>
      <c r="B23" s="7">
        <v>7943.4</v>
      </c>
    </row>
    <row r="24" spans="1:2" x14ac:dyDescent="0.3">
      <c r="A24" s="9">
        <v>5553957443</v>
      </c>
      <c r="B24" s="7">
        <v>8354.75</v>
      </c>
    </row>
    <row r="25" spans="1:2" x14ac:dyDescent="0.3">
      <c r="A25" s="9">
        <v>5577150313</v>
      </c>
      <c r="B25" s="7">
        <v>8608.181818181818</v>
      </c>
    </row>
    <row r="26" spans="1:2" x14ac:dyDescent="0.3">
      <c r="A26" s="9">
        <v>6117666160</v>
      </c>
      <c r="B26" s="7">
        <v>8248.6</v>
      </c>
    </row>
    <row r="27" spans="1:2" x14ac:dyDescent="0.3">
      <c r="A27" s="9">
        <v>6290855005</v>
      </c>
      <c r="B27" s="7">
        <v>1618.1</v>
      </c>
    </row>
    <row r="28" spans="1:2" x14ac:dyDescent="0.3">
      <c r="A28" s="9">
        <v>6391747486</v>
      </c>
      <c r="B28" s="7">
        <v>1336.8888888888889</v>
      </c>
    </row>
    <row r="29" spans="1:2" x14ac:dyDescent="0.3">
      <c r="A29" s="9">
        <v>6775888955</v>
      </c>
      <c r="B29" s="7">
        <v>5559</v>
      </c>
    </row>
    <row r="30" spans="1:2" x14ac:dyDescent="0.3">
      <c r="A30" s="9">
        <v>6962181067</v>
      </c>
      <c r="B30" s="7">
        <v>12639.714285714286</v>
      </c>
    </row>
    <row r="31" spans="1:2" x14ac:dyDescent="0.3">
      <c r="A31" s="9">
        <v>7007744171</v>
      </c>
      <c r="B31" s="7">
        <v>12260.333333333334</v>
      </c>
    </row>
    <row r="32" spans="1:2" x14ac:dyDescent="0.3">
      <c r="A32" s="9">
        <v>7086361926</v>
      </c>
      <c r="B32" s="7">
        <v>6103.916666666667</v>
      </c>
    </row>
    <row r="33" spans="1:2" x14ac:dyDescent="0.3">
      <c r="A33" s="9">
        <v>8053475328</v>
      </c>
      <c r="B33" s="7">
        <v>14844.363636363636</v>
      </c>
    </row>
    <row r="34" spans="1:2" x14ac:dyDescent="0.3">
      <c r="A34" s="9">
        <v>8253242879</v>
      </c>
      <c r="B34" s="7">
        <v>2389.9166666666665</v>
      </c>
    </row>
    <row r="35" spans="1:2" x14ac:dyDescent="0.3">
      <c r="A35" s="9">
        <v>8378563200</v>
      </c>
      <c r="B35" s="7">
        <v>8135.25</v>
      </c>
    </row>
    <row r="36" spans="1:2" x14ac:dyDescent="0.3">
      <c r="A36" s="9">
        <v>8583815059</v>
      </c>
      <c r="B36" s="7">
        <v>3045.5</v>
      </c>
    </row>
    <row r="37" spans="1:2" x14ac:dyDescent="0.3">
      <c r="A37" s="9">
        <v>8792009665</v>
      </c>
      <c r="B37" s="7">
        <v>3094.9166666666665</v>
      </c>
    </row>
    <row r="38" spans="1:2" x14ac:dyDescent="0.3">
      <c r="A38" s="9">
        <v>8877689391</v>
      </c>
      <c r="B38" s="7">
        <v>17417.083333333332</v>
      </c>
    </row>
    <row r="39" spans="1:2" x14ac:dyDescent="0.3">
      <c r="A39" s="9" t="s">
        <v>7</v>
      </c>
      <c r="B39" s="7">
        <v>6546.5623632385123</v>
      </c>
    </row>
  </sheetData>
  <mergeCells count="4">
    <mergeCell ref="A1:B1"/>
    <mergeCell ref="C1:G1"/>
    <mergeCell ref="I1:J1"/>
    <mergeCell ref="K3:P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tabSelected="1" topLeftCell="A16" workbookViewId="0">
      <selection activeCell="K39" sqref="K39:P39"/>
    </sheetView>
  </sheetViews>
  <sheetFormatPr defaultRowHeight="14.4" x14ac:dyDescent="0.3"/>
  <cols>
    <col min="1" max="1" width="12.5546875" bestFit="1" customWidth="1"/>
    <col min="2" max="2" width="17.33203125" style="7" bestFit="1" customWidth="1"/>
    <col min="3" max="3" width="20.5546875" style="7" bestFit="1" customWidth="1"/>
    <col min="7" max="7" width="17.33203125" bestFit="1" customWidth="1"/>
    <col min="8" max="8" width="20.5546875" bestFit="1" customWidth="1"/>
  </cols>
  <sheetData>
    <row r="1" spans="1:8" x14ac:dyDescent="0.3">
      <c r="A1" s="16" t="s">
        <v>20</v>
      </c>
      <c r="B1" s="16"/>
      <c r="C1" s="16"/>
    </row>
    <row r="3" spans="1:8" x14ac:dyDescent="0.3">
      <c r="A3" s="8" t="s">
        <v>6</v>
      </c>
      <c r="B3" s="7" t="s">
        <v>19</v>
      </c>
      <c r="C3" s="7" t="s">
        <v>8</v>
      </c>
      <c r="G3" s="13" t="s">
        <v>19</v>
      </c>
      <c r="H3" s="13" t="s">
        <v>8</v>
      </c>
    </row>
    <row r="4" spans="1:8" x14ac:dyDescent="0.3">
      <c r="A4" s="9">
        <v>1503960366</v>
      </c>
      <c r="B4" s="7">
        <v>1796.2105263157894</v>
      </c>
      <c r="C4" s="7">
        <v>11640.526315789473</v>
      </c>
      <c r="G4" s="7">
        <v>1796.2105263157894</v>
      </c>
      <c r="H4" s="7">
        <v>11640.526315789473</v>
      </c>
    </row>
    <row r="5" spans="1:8" x14ac:dyDescent="0.3">
      <c r="A5" s="9">
        <v>1624580081</v>
      </c>
      <c r="B5" s="7">
        <v>1352.8947368421052</v>
      </c>
      <c r="C5" s="7">
        <v>4226.2631578947367</v>
      </c>
      <c r="G5" s="7">
        <v>1352.8947368421052</v>
      </c>
      <c r="H5" s="7">
        <v>4226.2631578947367</v>
      </c>
    </row>
    <row r="6" spans="1:8" x14ac:dyDescent="0.3">
      <c r="A6" s="9">
        <v>1644430081</v>
      </c>
      <c r="B6" s="7">
        <v>2916.4</v>
      </c>
      <c r="C6" s="7">
        <v>9274.7999999999993</v>
      </c>
      <c r="G6" s="7">
        <v>2916.4</v>
      </c>
      <c r="H6" s="7">
        <v>9274.7999999999993</v>
      </c>
    </row>
    <row r="7" spans="1:8" x14ac:dyDescent="0.3">
      <c r="A7" s="9">
        <v>1844505072</v>
      </c>
      <c r="B7" s="7">
        <v>1615.9166666666667</v>
      </c>
      <c r="C7" s="7">
        <v>3640.5833333333335</v>
      </c>
      <c r="G7" s="7">
        <v>1615.9166666666667</v>
      </c>
      <c r="H7" s="7">
        <v>3640.5833333333335</v>
      </c>
    </row>
    <row r="8" spans="1:8" x14ac:dyDescent="0.3">
      <c r="A8" s="9">
        <v>1927972279</v>
      </c>
      <c r="B8" s="7">
        <v>2254</v>
      </c>
      <c r="C8" s="7">
        <v>2180.8333333333335</v>
      </c>
      <c r="G8" s="7">
        <v>2254</v>
      </c>
      <c r="H8" s="7">
        <v>2180.8333333333335</v>
      </c>
    </row>
    <row r="9" spans="1:8" x14ac:dyDescent="0.3">
      <c r="A9" s="9">
        <v>2022484408</v>
      </c>
      <c r="B9" s="7">
        <v>2475.3333333333335</v>
      </c>
      <c r="C9" s="7">
        <v>12174.916666666666</v>
      </c>
      <c r="G9" s="7">
        <v>2475.3333333333335</v>
      </c>
      <c r="H9" s="7">
        <v>12174.916666666666</v>
      </c>
    </row>
    <row r="10" spans="1:8" x14ac:dyDescent="0.3">
      <c r="A10" s="9">
        <v>2026352035</v>
      </c>
      <c r="B10" s="7">
        <v>1355.5</v>
      </c>
      <c r="C10" s="7">
        <v>3392.75</v>
      </c>
      <c r="G10" s="7">
        <v>1355.5</v>
      </c>
      <c r="H10" s="7">
        <v>3392.75</v>
      </c>
    </row>
    <row r="11" spans="1:8" x14ac:dyDescent="0.3">
      <c r="A11" s="9">
        <v>2320127002</v>
      </c>
      <c r="B11" s="7">
        <v>1532.0833333333333</v>
      </c>
      <c r="C11" s="7">
        <v>3138.4166666666665</v>
      </c>
      <c r="G11" s="7">
        <v>1532.0833333333333</v>
      </c>
      <c r="H11" s="7">
        <v>3138.4166666666665</v>
      </c>
    </row>
    <row r="12" spans="1:8" x14ac:dyDescent="0.3">
      <c r="A12" s="9">
        <v>2347167796</v>
      </c>
      <c r="B12" s="7">
        <v>2021.3333333333333</v>
      </c>
      <c r="C12" s="7">
        <v>9800.0666666666675</v>
      </c>
      <c r="G12" s="7">
        <v>2021.3333333333333</v>
      </c>
      <c r="H12" s="7">
        <v>9800.0666666666675</v>
      </c>
    </row>
    <row r="13" spans="1:8" x14ac:dyDescent="0.3">
      <c r="A13" s="9">
        <v>2873212765</v>
      </c>
      <c r="B13" s="7">
        <v>1695.75</v>
      </c>
      <c r="C13" s="7">
        <v>6636.583333333333</v>
      </c>
      <c r="G13" s="7">
        <v>1695.75</v>
      </c>
      <c r="H13" s="7">
        <v>6636.583333333333</v>
      </c>
    </row>
    <row r="14" spans="1:8" x14ac:dyDescent="0.3">
      <c r="A14" s="9">
        <v>2891001357</v>
      </c>
      <c r="B14" s="7">
        <v>2273.375</v>
      </c>
      <c r="C14" s="7">
        <v>773.625</v>
      </c>
      <c r="G14" s="7">
        <v>2273.375</v>
      </c>
      <c r="H14" s="7">
        <v>773.625</v>
      </c>
    </row>
    <row r="15" spans="1:8" x14ac:dyDescent="0.3">
      <c r="A15" s="9">
        <v>3372868164</v>
      </c>
      <c r="B15" s="7">
        <v>1860.3</v>
      </c>
      <c r="C15" s="7">
        <v>6127.5</v>
      </c>
      <c r="G15" s="7">
        <v>1860.3</v>
      </c>
      <c r="H15" s="7">
        <v>6127.5</v>
      </c>
    </row>
    <row r="16" spans="1:8" x14ac:dyDescent="0.3">
      <c r="A16" s="9">
        <v>3977333714</v>
      </c>
      <c r="B16" s="7">
        <v>1398.0833333333333</v>
      </c>
      <c r="C16" s="7">
        <v>8663.9166666666661</v>
      </c>
      <c r="G16" s="7">
        <v>1398.0833333333333</v>
      </c>
      <c r="H16" s="7">
        <v>8663.9166666666661</v>
      </c>
    </row>
    <row r="17" spans="1:17" x14ac:dyDescent="0.3">
      <c r="A17" s="9">
        <v>4020332650</v>
      </c>
      <c r="B17" s="7">
        <v>3075.375</v>
      </c>
      <c r="C17" s="7">
        <v>5776.59375</v>
      </c>
      <c r="G17" s="7">
        <v>3075.375</v>
      </c>
      <c r="H17" s="7">
        <v>5776.59375</v>
      </c>
    </row>
    <row r="18" spans="1:17" x14ac:dyDescent="0.3">
      <c r="A18" s="9">
        <v>4057192912</v>
      </c>
      <c r="B18" s="7">
        <v>1903.53125</v>
      </c>
      <c r="C18" s="7">
        <v>1887.21875</v>
      </c>
      <c r="G18" s="7">
        <v>1903.53125</v>
      </c>
      <c r="H18" s="7">
        <v>1887.21875</v>
      </c>
    </row>
    <row r="19" spans="1:17" x14ac:dyDescent="0.3">
      <c r="A19" s="9">
        <v>4319703577</v>
      </c>
      <c r="B19" s="7">
        <v>1994.25</v>
      </c>
      <c r="C19" s="7">
        <v>7820.583333333333</v>
      </c>
      <c r="G19" s="7">
        <v>1994.25</v>
      </c>
      <c r="H19" s="7">
        <v>7820.583333333333</v>
      </c>
    </row>
    <row r="20" spans="1:17" x14ac:dyDescent="0.3">
      <c r="A20" s="9">
        <v>4388161847</v>
      </c>
      <c r="B20" s="7">
        <v>1805.25</v>
      </c>
      <c r="C20" s="7">
        <v>0</v>
      </c>
      <c r="G20" s="7">
        <v>1805.25</v>
      </c>
      <c r="H20" s="7">
        <v>0</v>
      </c>
    </row>
    <row r="21" spans="1:17" x14ac:dyDescent="0.3">
      <c r="A21" s="9">
        <v>4445114986</v>
      </c>
      <c r="B21" s="7">
        <v>2107.8000000000002</v>
      </c>
      <c r="C21" s="7">
        <v>4293.0666666666666</v>
      </c>
      <c r="G21" s="7">
        <v>2107.8000000000002</v>
      </c>
      <c r="H21" s="7">
        <v>4293.0666666666666</v>
      </c>
    </row>
    <row r="22" spans="1:17" x14ac:dyDescent="0.3">
      <c r="A22" s="9">
        <v>4558609924</v>
      </c>
      <c r="B22" s="7">
        <v>1830.1666666666667</v>
      </c>
      <c r="C22" s="7">
        <v>5785.25</v>
      </c>
      <c r="G22" s="7">
        <v>1830.1666666666667</v>
      </c>
      <c r="H22" s="7">
        <v>5785.25</v>
      </c>
      <c r="K22" s="18"/>
      <c r="L22" s="18"/>
      <c r="M22" s="18"/>
      <c r="N22" s="18"/>
      <c r="O22" s="18"/>
      <c r="P22" s="18"/>
      <c r="Q22" s="18"/>
    </row>
    <row r="23" spans="1:17" x14ac:dyDescent="0.3">
      <c r="A23" s="9">
        <v>4702921684</v>
      </c>
      <c r="B23" s="7">
        <v>2821.4666666666667</v>
      </c>
      <c r="C23" s="7">
        <v>7943.4</v>
      </c>
      <c r="G23" s="7">
        <v>2821.4666666666667</v>
      </c>
      <c r="H23" s="7">
        <v>7943.4</v>
      </c>
    </row>
    <row r="24" spans="1:17" x14ac:dyDescent="0.3">
      <c r="A24" s="9">
        <v>5553957443</v>
      </c>
      <c r="B24" s="7">
        <v>1802.5</v>
      </c>
      <c r="C24" s="7">
        <v>8354.75</v>
      </c>
      <c r="G24" s="7">
        <v>1802.5</v>
      </c>
      <c r="H24" s="7">
        <v>8354.75</v>
      </c>
    </row>
    <row r="25" spans="1:17" x14ac:dyDescent="0.3">
      <c r="A25" s="9">
        <v>5577150313</v>
      </c>
      <c r="B25" s="7">
        <v>3300.2727272727275</v>
      </c>
      <c r="C25" s="7">
        <v>8608.181818181818</v>
      </c>
      <c r="G25" s="7">
        <v>3300.2727272727275</v>
      </c>
      <c r="H25" s="7">
        <v>8608.181818181818</v>
      </c>
    </row>
    <row r="26" spans="1:17" x14ac:dyDescent="0.3">
      <c r="A26" s="9">
        <v>6117666160</v>
      </c>
      <c r="B26" s="7">
        <v>2099.3000000000002</v>
      </c>
      <c r="C26" s="7">
        <v>8248.6</v>
      </c>
      <c r="G26" s="7">
        <v>2099.3000000000002</v>
      </c>
      <c r="H26" s="7">
        <v>8248.6</v>
      </c>
    </row>
    <row r="27" spans="1:17" x14ac:dyDescent="0.3">
      <c r="A27" s="9">
        <v>6290855005</v>
      </c>
      <c r="B27" s="7">
        <v>2165.6</v>
      </c>
      <c r="C27" s="7">
        <v>1618.1</v>
      </c>
      <c r="G27" s="7">
        <v>2165.6</v>
      </c>
      <c r="H27" s="7">
        <v>1618.1</v>
      </c>
    </row>
    <row r="28" spans="1:17" x14ac:dyDescent="0.3">
      <c r="A28" s="9">
        <v>6391747486</v>
      </c>
      <c r="B28" s="7">
        <v>1763.1111111111111</v>
      </c>
      <c r="C28" s="7">
        <v>1336.8888888888889</v>
      </c>
      <c r="G28" s="7">
        <v>1763.1111111111111</v>
      </c>
      <c r="H28" s="7">
        <v>1336.8888888888889</v>
      </c>
    </row>
    <row r="29" spans="1:17" x14ac:dyDescent="0.3">
      <c r="A29" s="9">
        <v>6775888955</v>
      </c>
      <c r="B29" s="7">
        <v>2724.7777777777778</v>
      </c>
      <c r="C29" s="7">
        <v>5559</v>
      </c>
      <c r="G29" s="7">
        <v>2724.7777777777778</v>
      </c>
      <c r="H29" s="7">
        <v>5559</v>
      </c>
    </row>
    <row r="30" spans="1:17" x14ac:dyDescent="0.3">
      <c r="A30" s="9">
        <v>6962181067</v>
      </c>
      <c r="B30" s="7">
        <v>2089.2142857142858</v>
      </c>
      <c r="C30" s="7">
        <v>12639.714285714286</v>
      </c>
      <c r="G30" s="7">
        <v>2089.2142857142858</v>
      </c>
      <c r="H30" s="7">
        <v>12639.714285714286</v>
      </c>
    </row>
    <row r="31" spans="1:17" x14ac:dyDescent="0.3">
      <c r="A31" s="9">
        <v>7007744171</v>
      </c>
      <c r="B31" s="7">
        <v>2627.0833333333335</v>
      </c>
      <c r="C31" s="7">
        <v>12260.333333333334</v>
      </c>
      <c r="G31" s="7">
        <v>2627.0833333333335</v>
      </c>
      <c r="H31" s="7">
        <v>12260.333333333334</v>
      </c>
    </row>
    <row r="32" spans="1:17" x14ac:dyDescent="0.3">
      <c r="A32" s="9">
        <v>7086361926</v>
      </c>
      <c r="B32" s="7">
        <v>2177</v>
      </c>
      <c r="C32" s="7">
        <v>6103.916666666667</v>
      </c>
      <c r="G32" s="7">
        <v>2177</v>
      </c>
      <c r="H32" s="7">
        <v>6103.916666666667</v>
      </c>
    </row>
    <row r="33" spans="1:17" x14ac:dyDescent="0.3">
      <c r="A33" s="9">
        <v>8053475328</v>
      </c>
      <c r="B33" s="7">
        <v>2893.181818181818</v>
      </c>
      <c r="C33" s="7">
        <v>14844.363636363636</v>
      </c>
      <c r="G33" s="7">
        <v>2893.181818181818</v>
      </c>
      <c r="H33" s="7">
        <v>14844.363636363636</v>
      </c>
    </row>
    <row r="34" spans="1:17" x14ac:dyDescent="0.3">
      <c r="A34" s="9">
        <v>8253242879</v>
      </c>
      <c r="B34" s="7">
        <v>1463</v>
      </c>
      <c r="C34" s="7">
        <v>2389.9166666666665</v>
      </c>
      <c r="G34" s="7">
        <v>1463</v>
      </c>
      <c r="H34" s="7">
        <v>2389.9166666666665</v>
      </c>
    </row>
    <row r="35" spans="1:17" x14ac:dyDescent="0.3">
      <c r="A35" s="9">
        <v>8378563200</v>
      </c>
      <c r="B35" s="7">
        <v>3356.1666666666665</v>
      </c>
      <c r="C35" s="7">
        <v>8135.25</v>
      </c>
      <c r="G35" s="7">
        <v>3356.1666666666665</v>
      </c>
      <c r="H35" s="7">
        <v>8135.25</v>
      </c>
    </row>
    <row r="36" spans="1:17" x14ac:dyDescent="0.3">
      <c r="A36" s="9">
        <v>8583815059</v>
      </c>
      <c r="B36" s="7">
        <v>2391.25</v>
      </c>
      <c r="C36" s="7">
        <v>3045.5</v>
      </c>
      <c r="G36" s="7">
        <v>2391.25</v>
      </c>
      <c r="H36" s="7">
        <v>3045.5</v>
      </c>
      <c r="J36" s="16" t="s">
        <v>21</v>
      </c>
      <c r="K36" s="16"/>
      <c r="L36" s="16"/>
      <c r="M36" s="16"/>
      <c r="N36" s="16"/>
      <c r="O36" s="16"/>
      <c r="P36" s="16"/>
    </row>
    <row r="37" spans="1:17" x14ac:dyDescent="0.3">
      <c r="A37" s="9">
        <v>8792009665</v>
      </c>
      <c r="B37" s="7">
        <v>2073.6666666666665</v>
      </c>
      <c r="C37" s="7">
        <v>3094.9166666666665</v>
      </c>
      <c r="G37" s="7">
        <v>2073.6666666666665</v>
      </c>
      <c r="H37" s="7">
        <v>3094.9166666666665</v>
      </c>
      <c r="K37" s="16" t="s">
        <v>22</v>
      </c>
      <c r="L37" s="16"/>
      <c r="M37" s="16"/>
      <c r="N37" s="16"/>
      <c r="O37" s="16"/>
    </row>
    <row r="38" spans="1:17" x14ac:dyDescent="0.3">
      <c r="A38" s="9">
        <v>8877689391</v>
      </c>
      <c r="B38" s="7">
        <v>3451.1666666666665</v>
      </c>
      <c r="C38" s="7">
        <v>17417.083333333332</v>
      </c>
      <c r="G38" s="7">
        <v>3451.1666666666665</v>
      </c>
      <c r="H38" s="7">
        <v>17417.083333333332</v>
      </c>
    </row>
    <row r="39" spans="1:17" x14ac:dyDescent="0.3">
      <c r="A39" s="9" t="s">
        <v>7</v>
      </c>
      <c r="B39" s="7">
        <v>2189.4529540481399</v>
      </c>
      <c r="C39" s="7">
        <v>6546.5623632385123</v>
      </c>
      <c r="G39" s="14">
        <v>2189.4529540481399</v>
      </c>
      <c r="H39" s="14">
        <v>6546.5623632385123</v>
      </c>
      <c r="K39" s="16" t="s">
        <v>23</v>
      </c>
      <c r="L39" s="16"/>
      <c r="M39" s="16"/>
      <c r="N39" s="16"/>
      <c r="O39" s="16"/>
      <c r="P39" s="16"/>
      <c r="Q39" s="18"/>
    </row>
  </sheetData>
  <mergeCells count="4">
    <mergeCell ref="A1:C1"/>
    <mergeCell ref="J36:P36"/>
    <mergeCell ref="K37:O37"/>
    <mergeCell ref="K39:P39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8"/>
  <sheetViews>
    <sheetView workbookViewId="0">
      <pane ySplit="1" topLeftCell="A20" activePane="bottomLeft" state="frozen"/>
      <selection pane="bottomLeft" activeCell="U6" sqref="U6"/>
    </sheetView>
  </sheetViews>
  <sheetFormatPr defaultRowHeight="14.4" x14ac:dyDescent="0.3"/>
  <cols>
    <col min="1" max="1" width="11" bestFit="1" customWidth="1"/>
    <col min="2" max="2" width="13.5546875" style="1" bestFit="1" customWidth="1"/>
    <col min="3" max="3" width="12.33203125" style="1" customWidth="1"/>
    <col min="4" max="4" width="11.88671875" style="7" bestFit="1" customWidth="1"/>
    <col min="5" max="5" width="15" style="5" bestFit="1" customWidth="1"/>
    <col min="6" max="6" width="8.44140625" style="7" bestFit="1" customWidth="1"/>
    <col min="7" max="7" width="13.77734375" bestFit="1" customWidth="1"/>
  </cols>
  <sheetData>
    <row r="1" spans="1:7" s="2" customFormat="1" ht="15.6" x14ac:dyDescent="0.3">
      <c r="A1" s="2" t="s">
        <v>0</v>
      </c>
      <c r="B1" s="3" t="s">
        <v>2</v>
      </c>
      <c r="C1" s="3" t="s">
        <v>5</v>
      </c>
      <c r="D1" s="6" t="s">
        <v>3</v>
      </c>
      <c r="E1" s="4" t="s">
        <v>4</v>
      </c>
      <c r="F1" s="6" t="s">
        <v>1</v>
      </c>
      <c r="G1" s="12" t="s">
        <v>11</v>
      </c>
    </row>
    <row r="2" spans="1:7" x14ac:dyDescent="0.3">
      <c r="A2">
        <v>1503960366</v>
      </c>
      <c r="B2" s="1">
        <v>42454</v>
      </c>
      <c r="C2" s="1" t="str">
        <f>TEXT(B2,"dddd")</f>
        <v>Friday</v>
      </c>
      <c r="D2" s="7">
        <v>11004</v>
      </c>
      <c r="E2" s="5">
        <v>7.1100001335143999</v>
      </c>
      <c r="F2" s="7">
        <v>1819</v>
      </c>
      <c r="G2" s="11" t="str">
        <f>IF(D2&lt;5000,"Low",IF(D2&lt;=10000,"Moderate","High"))</f>
        <v>High</v>
      </c>
    </row>
    <row r="3" spans="1:7" x14ac:dyDescent="0.3">
      <c r="A3">
        <v>1503960366</v>
      </c>
      <c r="B3" s="1">
        <v>42455</v>
      </c>
      <c r="C3" s="1" t="str">
        <f t="shared" ref="C3:C66" si="0">TEXT(B3,"dddd")</f>
        <v>Saturday</v>
      </c>
      <c r="D3" s="7">
        <v>17609</v>
      </c>
      <c r="E3" s="5">
        <v>11.550000190734901</v>
      </c>
      <c r="F3" s="7">
        <v>2154</v>
      </c>
      <c r="G3" s="11" t="str">
        <f t="shared" ref="G3:G66" si="1">IF(D3&lt;5000,"Low",IF(D3&lt;=10000,"Moderate","High"))</f>
        <v>High</v>
      </c>
    </row>
    <row r="4" spans="1:7" x14ac:dyDescent="0.3">
      <c r="A4">
        <v>1503960366</v>
      </c>
      <c r="B4" s="1">
        <v>42456</v>
      </c>
      <c r="C4" s="1" t="str">
        <f t="shared" si="0"/>
        <v>Sunday</v>
      </c>
      <c r="D4" s="7">
        <v>12736</v>
      </c>
      <c r="E4" s="5">
        <v>8.5299997329711896</v>
      </c>
      <c r="F4" s="7">
        <v>1944</v>
      </c>
      <c r="G4" s="11" t="str">
        <f t="shared" si="1"/>
        <v>High</v>
      </c>
    </row>
    <row r="5" spans="1:7" x14ac:dyDescent="0.3">
      <c r="A5">
        <v>1503960366</v>
      </c>
      <c r="B5" s="1">
        <v>42457</v>
      </c>
      <c r="C5" s="1" t="str">
        <f t="shared" si="0"/>
        <v>Monday</v>
      </c>
      <c r="D5" s="7">
        <v>13231</v>
      </c>
      <c r="E5" s="5">
        <v>8.9300003051757795</v>
      </c>
      <c r="F5" s="7">
        <v>1932</v>
      </c>
      <c r="G5" s="11" t="str">
        <f t="shared" si="1"/>
        <v>High</v>
      </c>
    </row>
    <row r="6" spans="1:7" x14ac:dyDescent="0.3">
      <c r="A6">
        <v>1503960366</v>
      </c>
      <c r="B6" s="1">
        <v>42458</v>
      </c>
      <c r="C6" s="1" t="str">
        <f t="shared" si="0"/>
        <v>Tuesday</v>
      </c>
      <c r="D6" s="7">
        <v>12041</v>
      </c>
      <c r="E6" s="5">
        <v>7.8499999046325701</v>
      </c>
      <c r="F6" s="7">
        <v>1886</v>
      </c>
      <c r="G6" s="11" t="str">
        <f t="shared" si="1"/>
        <v>High</v>
      </c>
    </row>
    <row r="7" spans="1:7" x14ac:dyDescent="0.3">
      <c r="A7">
        <v>1503960366</v>
      </c>
      <c r="B7" s="1">
        <v>42459</v>
      </c>
      <c r="C7" s="1" t="str">
        <f t="shared" si="0"/>
        <v>Wednesday</v>
      </c>
      <c r="D7" s="7">
        <v>10970</v>
      </c>
      <c r="E7" s="5">
        <v>7.1599998474121103</v>
      </c>
      <c r="F7" s="7">
        <v>1820</v>
      </c>
      <c r="G7" s="11" t="str">
        <f t="shared" si="1"/>
        <v>High</v>
      </c>
    </row>
    <row r="8" spans="1:7" x14ac:dyDescent="0.3">
      <c r="A8">
        <v>1503960366</v>
      </c>
      <c r="B8" s="1">
        <v>42460</v>
      </c>
      <c r="C8" s="1" t="str">
        <f t="shared" si="0"/>
        <v>Thursday</v>
      </c>
      <c r="D8" s="7">
        <v>12256</v>
      </c>
      <c r="E8" s="5">
        <v>7.8600001335143999</v>
      </c>
      <c r="F8" s="7">
        <v>1889</v>
      </c>
      <c r="G8" s="11" t="str">
        <f t="shared" si="1"/>
        <v>High</v>
      </c>
    </row>
    <row r="9" spans="1:7" x14ac:dyDescent="0.3">
      <c r="A9">
        <v>1503960366</v>
      </c>
      <c r="B9" s="1">
        <v>42461</v>
      </c>
      <c r="C9" s="1" t="str">
        <f t="shared" si="0"/>
        <v>Friday</v>
      </c>
      <c r="D9" s="7">
        <v>12262</v>
      </c>
      <c r="E9" s="5">
        <v>7.8699998855590803</v>
      </c>
      <c r="F9" s="7">
        <v>1868</v>
      </c>
      <c r="G9" s="11" t="str">
        <f t="shared" si="1"/>
        <v>High</v>
      </c>
    </row>
    <row r="10" spans="1:7" x14ac:dyDescent="0.3">
      <c r="A10">
        <v>1503960366</v>
      </c>
      <c r="B10" s="1">
        <v>42462</v>
      </c>
      <c r="C10" s="1" t="str">
        <f t="shared" si="0"/>
        <v>Saturday</v>
      </c>
      <c r="D10" s="7">
        <v>11248</v>
      </c>
      <c r="E10" s="5">
        <v>7.25</v>
      </c>
      <c r="F10" s="7">
        <v>1843</v>
      </c>
      <c r="G10" s="11" t="str">
        <f t="shared" si="1"/>
        <v>High</v>
      </c>
    </row>
    <row r="11" spans="1:7" x14ac:dyDescent="0.3">
      <c r="A11">
        <v>1503960366</v>
      </c>
      <c r="B11" s="1">
        <v>42463</v>
      </c>
      <c r="C11" s="1" t="str">
        <f t="shared" si="0"/>
        <v>Sunday</v>
      </c>
      <c r="D11" s="7">
        <v>10016</v>
      </c>
      <c r="E11" s="5">
        <v>6.3699998855590803</v>
      </c>
      <c r="F11" s="7">
        <v>1850</v>
      </c>
      <c r="G11" s="11" t="str">
        <f t="shared" si="1"/>
        <v>High</v>
      </c>
    </row>
    <row r="12" spans="1:7" x14ac:dyDescent="0.3">
      <c r="A12">
        <v>1503960366</v>
      </c>
      <c r="B12" s="1">
        <v>42464</v>
      </c>
      <c r="C12" s="1" t="str">
        <f t="shared" si="0"/>
        <v>Monday</v>
      </c>
      <c r="D12" s="7">
        <v>14557</v>
      </c>
      <c r="E12" s="5">
        <v>9.8000001907348597</v>
      </c>
      <c r="F12" s="7">
        <v>2030</v>
      </c>
      <c r="G12" s="11" t="str">
        <f t="shared" si="1"/>
        <v>High</v>
      </c>
    </row>
    <row r="13" spans="1:7" x14ac:dyDescent="0.3">
      <c r="A13">
        <v>1503960366</v>
      </c>
      <c r="B13" s="1">
        <v>42465</v>
      </c>
      <c r="C13" s="1" t="str">
        <f t="shared" si="0"/>
        <v>Tuesday</v>
      </c>
      <c r="D13" s="7">
        <v>14844</v>
      </c>
      <c r="E13" s="5">
        <v>9.7299995422363299</v>
      </c>
      <c r="F13" s="7">
        <v>2083</v>
      </c>
      <c r="G13" s="11" t="str">
        <f t="shared" si="1"/>
        <v>High</v>
      </c>
    </row>
    <row r="14" spans="1:7" x14ac:dyDescent="0.3">
      <c r="A14">
        <v>1503960366</v>
      </c>
      <c r="B14" s="1">
        <v>42466</v>
      </c>
      <c r="C14" s="1" t="str">
        <f t="shared" si="0"/>
        <v>Wednesday</v>
      </c>
      <c r="D14" s="7">
        <v>11974</v>
      </c>
      <c r="E14" s="5">
        <v>7.6700000762939498</v>
      </c>
      <c r="F14" s="7">
        <v>1861</v>
      </c>
      <c r="G14" s="11" t="str">
        <f t="shared" si="1"/>
        <v>High</v>
      </c>
    </row>
    <row r="15" spans="1:7" x14ac:dyDescent="0.3">
      <c r="A15">
        <v>1503960366</v>
      </c>
      <c r="B15" s="1">
        <v>42467</v>
      </c>
      <c r="C15" s="1" t="str">
        <f t="shared" si="0"/>
        <v>Thursday</v>
      </c>
      <c r="D15" s="7">
        <v>10198</v>
      </c>
      <c r="E15" s="5">
        <v>6.4400000572204599</v>
      </c>
      <c r="F15" s="7">
        <v>1755</v>
      </c>
      <c r="G15" s="11" t="str">
        <f t="shared" si="1"/>
        <v>High</v>
      </c>
    </row>
    <row r="16" spans="1:7" x14ac:dyDescent="0.3">
      <c r="A16">
        <v>1503960366</v>
      </c>
      <c r="B16" s="1">
        <v>42468</v>
      </c>
      <c r="C16" s="1" t="str">
        <f t="shared" si="0"/>
        <v>Friday</v>
      </c>
      <c r="D16" s="7">
        <v>12521</v>
      </c>
      <c r="E16" s="5">
        <v>7.9400000572204599</v>
      </c>
      <c r="F16" s="7">
        <v>1895</v>
      </c>
      <c r="G16" s="11" t="str">
        <f t="shared" si="1"/>
        <v>High</v>
      </c>
    </row>
    <row r="17" spans="1:7" x14ac:dyDescent="0.3">
      <c r="A17">
        <v>1503960366</v>
      </c>
      <c r="B17" s="1">
        <v>42469</v>
      </c>
      <c r="C17" s="1" t="str">
        <f t="shared" si="0"/>
        <v>Saturday</v>
      </c>
      <c r="D17" s="7">
        <v>12432</v>
      </c>
      <c r="E17" s="5">
        <v>8.1000003814697301</v>
      </c>
      <c r="F17" s="7">
        <v>1883</v>
      </c>
      <c r="G17" s="11" t="str">
        <f t="shared" si="1"/>
        <v>High</v>
      </c>
    </row>
    <row r="18" spans="1:7" x14ac:dyDescent="0.3">
      <c r="A18">
        <v>1503960366</v>
      </c>
      <c r="B18" s="1">
        <v>42470</v>
      </c>
      <c r="C18" s="1" t="str">
        <f t="shared" si="0"/>
        <v>Sunday</v>
      </c>
      <c r="D18" s="7">
        <v>10057</v>
      </c>
      <c r="E18" s="5">
        <v>6.9800000190734899</v>
      </c>
      <c r="F18" s="7">
        <v>1755</v>
      </c>
      <c r="G18" s="11" t="str">
        <f t="shared" si="1"/>
        <v>High</v>
      </c>
    </row>
    <row r="19" spans="1:7" x14ac:dyDescent="0.3">
      <c r="A19">
        <v>1503960366</v>
      </c>
      <c r="B19" s="1">
        <v>42471</v>
      </c>
      <c r="C19" s="1" t="str">
        <f t="shared" si="0"/>
        <v>Monday</v>
      </c>
      <c r="D19" s="7">
        <v>10990</v>
      </c>
      <c r="E19" s="5">
        <v>7.2600002288818404</v>
      </c>
      <c r="F19" s="7">
        <v>1811</v>
      </c>
      <c r="G19" s="11" t="str">
        <f t="shared" si="1"/>
        <v>High</v>
      </c>
    </row>
    <row r="20" spans="1:7" x14ac:dyDescent="0.3">
      <c r="A20">
        <v>1503960366</v>
      </c>
      <c r="B20" s="1">
        <v>42472</v>
      </c>
      <c r="C20" s="1" t="str">
        <f t="shared" si="0"/>
        <v>Tuesday</v>
      </c>
      <c r="D20" s="7">
        <v>224</v>
      </c>
      <c r="E20" s="5">
        <v>0.140000000596046</v>
      </c>
      <c r="F20" s="7">
        <v>50</v>
      </c>
      <c r="G20" s="11" t="str">
        <f t="shared" si="1"/>
        <v>Low</v>
      </c>
    </row>
    <row r="21" spans="1:7" x14ac:dyDescent="0.3">
      <c r="A21">
        <v>1624580081</v>
      </c>
      <c r="B21" s="1">
        <v>42454</v>
      </c>
      <c r="C21" s="1" t="str">
        <f t="shared" si="0"/>
        <v>Friday</v>
      </c>
      <c r="D21" s="7">
        <v>1810</v>
      </c>
      <c r="E21" s="5">
        <v>1.1799999475479099</v>
      </c>
      <c r="F21" s="7">
        <v>1373</v>
      </c>
      <c r="G21" s="11" t="str">
        <f t="shared" si="1"/>
        <v>Low</v>
      </c>
    </row>
    <row r="22" spans="1:7" x14ac:dyDescent="0.3">
      <c r="A22">
        <v>1624580081</v>
      </c>
      <c r="B22" s="1">
        <v>42455</v>
      </c>
      <c r="C22" s="1" t="str">
        <f t="shared" si="0"/>
        <v>Saturday</v>
      </c>
      <c r="D22" s="7">
        <v>815</v>
      </c>
      <c r="E22" s="5">
        <v>0.52999997138977095</v>
      </c>
      <c r="F22" s="7">
        <v>1264</v>
      </c>
      <c r="G22" s="11" t="str">
        <f t="shared" si="1"/>
        <v>Low</v>
      </c>
    </row>
    <row r="23" spans="1:7" x14ac:dyDescent="0.3">
      <c r="A23">
        <v>1624580081</v>
      </c>
      <c r="B23" s="1">
        <v>42456</v>
      </c>
      <c r="C23" s="1" t="str">
        <f t="shared" si="0"/>
        <v>Sunday</v>
      </c>
      <c r="D23" s="7">
        <v>1985</v>
      </c>
      <c r="E23" s="5">
        <v>1.28999996185303</v>
      </c>
      <c r="F23" s="7">
        <v>1350</v>
      </c>
      <c r="G23" s="11" t="str">
        <f t="shared" si="1"/>
        <v>Low</v>
      </c>
    </row>
    <row r="24" spans="1:7" x14ac:dyDescent="0.3">
      <c r="A24">
        <v>1624580081</v>
      </c>
      <c r="B24" s="1">
        <v>42457</v>
      </c>
      <c r="C24" s="1" t="str">
        <f t="shared" si="0"/>
        <v>Monday</v>
      </c>
      <c r="D24" s="7">
        <v>1905</v>
      </c>
      <c r="E24" s="5">
        <v>1.2400000095367401</v>
      </c>
      <c r="F24" s="7">
        <v>1342</v>
      </c>
      <c r="G24" s="11" t="str">
        <f t="shared" si="1"/>
        <v>Low</v>
      </c>
    </row>
    <row r="25" spans="1:7" x14ac:dyDescent="0.3">
      <c r="A25">
        <v>1624580081</v>
      </c>
      <c r="B25" s="1">
        <v>42458</v>
      </c>
      <c r="C25" s="1" t="str">
        <f t="shared" si="0"/>
        <v>Tuesday</v>
      </c>
      <c r="D25" s="7">
        <v>1552</v>
      </c>
      <c r="E25" s="5">
        <v>1.0099999904632599</v>
      </c>
      <c r="F25" s="7">
        <v>1300</v>
      </c>
      <c r="G25" s="11" t="str">
        <f t="shared" si="1"/>
        <v>Low</v>
      </c>
    </row>
    <row r="26" spans="1:7" x14ac:dyDescent="0.3">
      <c r="A26">
        <v>1624580081</v>
      </c>
      <c r="B26" s="1">
        <v>42459</v>
      </c>
      <c r="C26" s="1" t="str">
        <f t="shared" si="0"/>
        <v>Wednesday</v>
      </c>
      <c r="D26" s="7">
        <v>1675</v>
      </c>
      <c r="E26" s="5">
        <v>1.0900000333786</v>
      </c>
      <c r="F26" s="7">
        <v>1313</v>
      </c>
      <c r="G26" s="11" t="str">
        <f t="shared" si="1"/>
        <v>Low</v>
      </c>
    </row>
    <row r="27" spans="1:7" x14ac:dyDescent="0.3">
      <c r="A27">
        <v>1624580081</v>
      </c>
      <c r="B27" s="1">
        <v>42460</v>
      </c>
      <c r="C27" s="1" t="str">
        <f t="shared" si="0"/>
        <v>Thursday</v>
      </c>
      <c r="D27" s="7">
        <v>4506</v>
      </c>
      <c r="E27" s="5">
        <v>2.9300000667571999</v>
      </c>
      <c r="F27" s="7">
        <v>1498</v>
      </c>
      <c r="G27" s="11" t="str">
        <f t="shared" si="1"/>
        <v>Low</v>
      </c>
    </row>
    <row r="28" spans="1:7" x14ac:dyDescent="0.3">
      <c r="A28">
        <v>1624580081</v>
      </c>
      <c r="B28" s="1">
        <v>42461</v>
      </c>
      <c r="C28" s="1" t="str">
        <f t="shared" si="0"/>
        <v>Friday</v>
      </c>
      <c r="D28" s="7">
        <v>9218</v>
      </c>
      <c r="E28" s="5">
        <v>5.9899997711181596</v>
      </c>
      <c r="F28" s="7">
        <v>1541</v>
      </c>
      <c r="G28" s="11" t="str">
        <f t="shared" si="1"/>
        <v>Moderate</v>
      </c>
    </row>
    <row r="29" spans="1:7" x14ac:dyDescent="0.3">
      <c r="A29">
        <v>1624580081</v>
      </c>
      <c r="B29" s="1">
        <v>42462</v>
      </c>
      <c r="C29" s="1" t="str">
        <f t="shared" si="0"/>
        <v>Saturday</v>
      </c>
      <c r="D29" s="7">
        <v>1556</v>
      </c>
      <c r="E29" s="5">
        <v>1.0099999904632599</v>
      </c>
      <c r="F29" s="7">
        <v>1327</v>
      </c>
      <c r="G29" s="11" t="str">
        <f t="shared" si="1"/>
        <v>Low</v>
      </c>
    </row>
    <row r="30" spans="1:7" x14ac:dyDescent="0.3">
      <c r="A30">
        <v>1624580081</v>
      </c>
      <c r="B30" s="1">
        <v>42463</v>
      </c>
      <c r="C30" s="1" t="str">
        <f t="shared" si="0"/>
        <v>Sunday</v>
      </c>
      <c r="D30" s="7">
        <v>2910</v>
      </c>
      <c r="E30" s="5">
        <v>1.8899999856948899</v>
      </c>
      <c r="F30" s="7">
        <v>1452</v>
      </c>
      <c r="G30" s="11" t="str">
        <f t="shared" si="1"/>
        <v>Low</v>
      </c>
    </row>
    <row r="31" spans="1:7" x14ac:dyDescent="0.3">
      <c r="A31">
        <v>1624580081</v>
      </c>
      <c r="B31" s="1">
        <v>42464</v>
      </c>
      <c r="C31" s="1" t="str">
        <f t="shared" si="0"/>
        <v>Monday</v>
      </c>
      <c r="D31" s="7">
        <v>18464</v>
      </c>
      <c r="E31" s="5">
        <v>12</v>
      </c>
      <c r="F31" s="7">
        <v>1574</v>
      </c>
      <c r="G31" s="11" t="str">
        <f t="shared" si="1"/>
        <v>High</v>
      </c>
    </row>
    <row r="32" spans="1:7" x14ac:dyDescent="0.3">
      <c r="A32">
        <v>1624580081</v>
      </c>
      <c r="B32" s="1">
        <v>42465</v>
      </c>
      <c r="C32" s="1" t="str">
        <f t="shared" si="0"/>
        <v>Tuesday</v>
      </c>
      <c r="D32" s="7">
        <v>1335</v>
      </c>
      <c r="E32" s="5">
        <v>0.87000000476837203</v>
      </c>
      <c r="F32" s="7">
        <v>1308</v>
      </c>
      <c r="G32" s="11" t="str">
        <f t="shared" si="1"/>
        <v>Low</v>
      </c>
    </row>
    <row r="33" spans="1:7" x14ac:dyDescent="0.3">
      <c r="A33">
        <v>1624580081</v>
      </c>
      <c r="B33" s="1">
        <v>42466</v>
      </c>
      <c r="C33" s="1" t="str">
        <f t="shared" si="0"/>
        <v>Wednesday</v>
      </c>
      <c r="D33" s="7">
        <v>1004</v>
      </c>
      <c r="E33" s="5">
        <v>0.64999997615814198</v>
      </c>
      <c r="F33" s="7">
        <v>1276</v>
      </c>
      <c r="G33" s="11" t="str">
        <f t="shared" si="1"/>
        <v>Low</v>
      </c>
    </row>
    <row r="34" spans="1:7" x14ac:dyDescent="0.3">
      <c r="A34">
        <v>1624580081</v>
      </c>
      <c r="B34" s="1">
        <v>42467</v>
      </c>
      <c r="C34" s="1" t="str">
        <f t="shared" si="0"/>
        <v>Thursday</v>
      </c>
      <c r="D34" s="7">
        <v>1111</v>
      </c>
      <c r="E34" s="5">
        <v>0.72000002861022905</v>
      </c>
      <c r="F34" s="7">
        <v>1278</v>
      </c>
      <c r="G34" s="11" t="str">
        <f t="shared" si="1"/>
        <v>Low</v>
      </c>
    </row>
    <row r="35" spans="1:7" x14ac:dyDescent="0.3">
      <c r="A35">
        <v>1624580081</v>
      </c>
      <c r="B35" s="1">
        <v>42468</v>
      </c>
      <c r="C35" s="1" t="str">
        <f t="shared" si="0"/>
        <v>Friday</v>
      </c>
      <c r="D35" s="7">
        <v>6344</v>
      </c>
      <c r="E35" s="5">
        <v>4.1199998855590803</v>
      </c>
      <c r="F35" s="7">
        <v>1409</v>
      </c>
      <c r="G35" s="11" t="str">
        <f t="shared" si="1"/>
        <v>Moderate</v>
      </c>
    </row>
    <row r="36" spans="1:7" x14ac:dyDescent="0.3">
      <c r="A36">
        <v>1624580081</v>
      </c>
      <c r="B36" s="1">
        <v>42469</v>
      </c>
      <c r="C36" s="1" t="str">
        <f t="shared" si="0"/>
        <v>Saturday</v>
      </c>
      <c r="D36" s="7">
        <v>3572</v>
      </c>
      <c r="E36" s="5">
        <v>2.3199999332428001</v>
      </c>
      <c r="F36" s="7">
        <v>1370</v>
      </c>
      <c r="G36" s="11" t="str">
        <f t="shared" si="1"/>
        <v>Low</v>
      </c>
    </row>
    <row r="37" spans="1:7" x14ac:dyDescent="0.3">
      <c r="A37">
        <v>1624580081</v>
      </c>
      <c r="B37" s="1">
        <v>42470</v>
      </c>
      <c r="C37" s="1" t="str">
        <f t="shared" si="0"/>
        <v>Sunday</v>
      </c>
      <c r="D37" s="7">
        <v>3910</v>
      </c>
      <c r="E37" s="5">
        <v>2.53999996185303</v>
      </c>
      <c r="F37" s="7">
        <v>1555</v>
      </c>
      <c r="G37" s="11" t="str">
        <f t="shared" si="1"/>
        <v>Low</v>
      </c>
    </row>
    <row r="38" spans="1:7" x14ac:dyDescent="0.3">
      <c r="A38">
        <v>1624580081</v>
      </c>
      <c r="B38" s="1">
        <v>42471</v>
      </c>
      <c r="C38" s="1" t="str">
        <f t="shared" si="0"/>
        <v>Monday</v>
      </c>
      <c r="D38" s="7">
        <v>10000</v>
      </c>
      <c r="E38" s="5">
        <v>6.5</v>
      </c>
      <c r="F38" s="7">
        <v>1469</v>
      </c>
      <c r="G38" s="11" t="str">
        <f t="shared" si="1"/>
        <v>Moderate</v>
      </c>
    </row>
    <row r="39" spans="1:7" x14ac:dyDescent="0.3">
      <c r="A39">
        <v>1624580081</v>
      </c>
      <c r="B39" s="1">
        <v>42472</v>
      </c>
      <c r="C39" s="1" t="str">
        <f t="shared" si="0"/>
        <v>Tuesday</v>
      </c>
      <c r="D39" s="7">
        <v>6627</v>
      </c>
      <c r="E39" s="5">
        <v>4.3099999427795401</v>
      </c>
      <c r="F39" s="7">
        <v>706</v>
      </c>
      <c r="G39" s="11" t="str">
        <f t="shared" si="1"/>
        <v>Moderate</v>
      </c>
    </row>
    <row r="40" spans="1:7" x14ac:dyDescent="0.3">
      <c r="A40">
        <v>1644430081</v>
      </c>
      <c r="B40" s="1">
        <v>42461</v>
      </c>
      <c r="C40" s="1" t="str">
        <f t="shared" si="0"/>
        <v>Friday</v>
      </c>
      <c r="D40" s="7">
        <v>4636</v>
      </c>
      <c r="E40" s="5">
        <v>3.4100000858306898</v>
      </c>
      <c r="F40" s="7">
        <v>3323</v>
      </c>
      <c r="G40" s="11" t="str">
        <f t="shared" si="1"/>
        <v>Low</v>
      </c>
    </row>
    <row r="41" spans="1:7" x14ac:dyDescent="0.3">
      <c r="A41">
        <v>1644430081</v>
      </c>
      <c r="B41" s="1">
        <v>42462</v>
      </c>
      <c r="C41" s="1" t="str">
        <f t="shared" si="0"/>
        <v>Saturday</v>
      </c>
      <c r="D41" s="7">
        <v>20237</v>
      </c>
      <c r="E41" s="5">
        <v>14.710000038146999</v>
      </c>
      <c r="F41" s="7">
        <v>4029</v>
      </c>
      <c r="G41" s="11" t="str">
        <f t="shared" si="1"/>
        <v>High</v>
      </c>
    </row>
    <row r="42" spans="1:7" x14ac:dyDescent="0.3">
      <c r="A42">
        <v>1644430081</v>
      </c>
      <c r="B42" s="1">
        <v>42463</v>
      </c>
      <c r="C42" s="1" t="str">
        <f t="shared" si="0"/>
        <v>Sunday</v>
      </c>
      <c r="D42" s="7">
        <v>12912</v>
      </c>
      <c r="E42" s="5">
        <v>9.4099998474121094</v>
      </c>
      <c r="F42" s="7">
        <v>3436</v>
      </c>
      <c r="G42" s="11" t="str">
        <f t="shared" si="1"/>
        <v>High</v>
      </c>
    </row>
    <row r="43" spans="1:7" x14ac:dyDescent="0.3">
      <c r="A43">
        <v>1644430081</v>
      </c>
      <c r="B43" s="1">
        <v>42464</v>
      </c>
      <c r="C43" s="1" t="str">
        <f t="shared" si="0"/>
        <v>Monday</v>
      </c>
      <c r="D43" s="7">
        <v>2819</v>
      </c>
      <c r="E43" s="5">
        <v>2.0499999523162802</v>
      </c>
      <c r="F43" s="7">
        <v>2444</v>
      </c>
      <c r="G43" s="11" t="str">
        <f t="shared" si="1"/>
        <v>Low</v>
      </c>
    </row>
    <row r="44" spans="1:7" x14ac:dyDescent="0.3">
      <c r="A44">
        <v>1644430081</v>
      </c>
      <c r="B44" s="1">
        <v>42465</v>
      </c>
      <c r="C44" s="1" t="str">
        <f t="shared" si="0"/>
        <v>Tuesday</v>
      </c>
      <c r="D44" s="7">
        <v>9921</v>
      </c>
      <c r="E44" s="5">
        <v>7.21000003814697</v>
      </c>
      <c r="F44" s="7">
        <v>3098</v>
      </c>
      <c r="G44" s="11" t="str">
        <f t="shared" si="1"/>
        <v>Moderate</v>
      </c>
    </row>
    <row r="45" spans="1:7" x14ac:dyDescent="0.3">
      <c r="A45">
        <v>1644430081</v>
      </c>
      <c r="B45" s="1">
        <v>42466</v>
      </c>
      <c r="C45" s="1" t="str">
        <f t="shared" si="0"/>
        <v>Wednesday</v>
      </c>
      <c r="D45" s="7">
        <v>8046</v>
      </c>
      <c r="E45" s="5">
        <v>5.8499999046325701</v>
      </c>
      <c r="F45" s="7">
        <v>2925</v>
      </c>
      <c r="G45" s="11" t="str">
        <f t="shared" si="1"/>
        <v>Moderate</v>
      </c>
    </row>
    <row r="46" spans="1:7" x14ac:dyDescent="0.3">
      <c r="A46">
        <v>1644430081</v>
      </c>
      <c r="B46" s="1">
        <v>42467</v>
      </c>
      <c r="C46" s="1" t="str">
        <f t="shared" si="0"/>
        <v>Thursday</v>
      </c>
      <c r="D46" s="7">
        <v>11166</v>
      </c>
      <c r="E46" s="5">
        <v>8.1199998855590803</v>
      </c>
      <c r="F46" s="7">
        <v>3202</v>
      </c>
      <c r="G46" s="11" t="str">
        <f t="shared" si="1"/>
        <v>High</v>
      </c>
    </row>
    <row r="47" spans="1:7" x14ac:dyDescent="0.3">
      <c r="A47">
        <v>1644430081</v>
      </c>
      <c r="B47" s="1">
        <v>42468</v>
      </c>
      <c r="C47" s="1" t="str">
        <f t="shared" si="0"/>
        <v>Friday</v>
      </c>
      <c r="D47" s="7">
        <v>7842</v>
      </c>
      <c r="E47" s="5">
        <v>5.6999998092651403</v>
      </c>
      <c r="F47" s="7">
        <v>2928</v>
      </c>
      <c r="G47" s="11" t="str">
        <f t="shared" si="1"/>
        <v>Moderate</v>
      </c>
    </row>
    <row r="48" spans="1:7" x14ac:dyDescent="0.3">
      <c r="A48">
        <v>1644430081</v>
      </c>
      <c r="B48" s="1">
        <v>42469</v>
      </c>
      <c r="C48" s="1" t="str">
        <f t="shared" si="0"/>
        <v>Saturday</v>
      </c>
      <c r="D48" s="7">
        <v>13840</v>
      </c>
      <c r="E48" s="5">
        <v>10.060000419616699</v>
      </c>
      <c r="F48" s="7">
        <v>3290</v>
      </c>
      <c r="G48" s="11" t="str">
        <f t="shared" si="1"/>
        <v>High</v>
      </c>
    </row>
    <row r="49" spans="1:7" x14ac:dyDescent="0.3">
      <c r="A49">
        <v>1644430081</v>
      </c>
      <c r="B49" s="1">
        <v>42470</v>
      </c>
      <c r="C49" s="1" t="str">
        <f t="shared" si="0"/>
        <v>Sunday</v>
      </c>
      <c r="D49" s="7">
        <v>1329</v>
      </c>
      <c r="E49" s="5">
        <v>0.97000002861022905</v>
      </c>
      <c r="F49" s="7">
        <v>489</v>
      </c>
      <c r="G49" s="11" t="str">
        <f t="shared" si="1"/>
        <v>Low</v>
      </c>
    </row>
    <row r="50" spans="1:7" x14ac:dyDescent="0.3">
      <c r="A50">
        <v>1844505072</v>
      </c>
      <c r="B50" s="1">
        <v>42461</v>
      </c>
      <c r="C50" s="1" t="str">
        <f t="shared" si="0"/>
        <v>Friday</v>
      </c>
      <c r="D50" s="7">
        <v>6847</v>
      </c>
      <c r="E50" s="5">
        <v>4.5300002098083496</v>
      </c>
      <c r="F50" s="7">
        <v>1969</v>
      </c>
      <c r="G50" s="11" t="str">
        <f t="shared" si="1"/>
        <v>Moderate</v>
      </c>
    </row>
    <row r="51" spans="1:7" x14ac:dyDescent="0.3">
      <c r="A51">
        <v>1844505072</v>
      </c>
      <c r="B51" s="1">
        <v>42462</v>
      </c>
      <c r="C51" s="1" t="str">
        <f t="shared" si="0"/>
        <v>Saturday</v>
      </c>
      <c r="D51" s="7">
        <v>5367</v>
      </c>
      <c r="E51" s="5">
        <v>3.5499999523162802</v>
      </c>
      <c r="F51" s="7">
        <v>1889</v>
      </c>
      <c r="G51" s="11" t="str">
        <f t="shared" si="1"/>
        <v>Moderate</v>
      </c>
    </row>
    <row r="52" spans="1:7" x14ac:dyDescent="0.3">
      <c r="A52">
        <v>1844505072</v>
      </c>
      <c r="B52" s="1">
        <v>42463</v>
      </c>
      <c r="C52" s="1" t="str">
        <f t="shared" si="0"/>
        <v>Sunday</v>
      </c>
      <c r="D52" s="7">
        <v>2841</v>
      </c>
      <c r="E52" s="5">
        <v>1.87999999523163</v>
      </c>
      <c r="F52" s="7">
        <v>1636</v>
      </c>
      <c r="G52" s="11" t="str">
        <f t="shared" si="1"/>
        <v>Low</v>
      </c>
    </row>
    <row r="53" spans="1:7" x14ac:dyDescent="0.3">
      <c r="A53">
        <v>1844505072</v>
      </c>
      <c r="B53" s="1">
        <v>42464</v>
      </c>
      <c r="C53" s="1" t="str">
        <f t="shared" si="0"/>
        <v>Monday</v>
      </c>
      <c r="D53" s="7">
        <v>0</v>
      </c>
      <c r="E53" s="5">
        <v>0</v>
      </c>
      <c r="F53" s="7">
        <v>1347</v>
      </c>
      <c r="G53" s="11" t="str">
        <f t="shared" si="1"/>
        <v>Low</v>
      </c>
    </row>
    <row r="54" spans="1:7" x14ac:dyDescent="0.3">
      <c r="A54">
        <v>1844505072</v>
      </c>
      <c r="B54" s="1">
        <v>42465</v>
      </c>
      <c r="C54" s="1" t="str">
        <f t="shared" si="0"/>
        <v>Tuesday</v>
      </c>
      <c r="D54" s="7">
        <v>0</v>
      </c>
      <c r="E54" s="5">
        <v>0</v>
      </c>
      <c r="F54" s="7">
        <v>1347</v>
      </c>
      <c r="G54" s="11" t="str">
        <f t="shared" si="1"/>
        <v>Low</v>
      </c>
    </row>
    <row r="55" spans="1:7" x14ac:dyDescent="0.3">
      <c r="A55">
        <v>1844505072</v>
      </c>
      <c r="B55" s="1">
        <v>42466</v>
      </c>
      <c r="C55" s="1" t="str">
        <f t="shared" si="0"/>
        <v>Wednesday</v>
      </c>
      <c r="D55" s="7">
        <v>7</v>
      </c>
      <c r="E55" s="5">
        <v>0</v>
      </c>
      <c r="F55" s="7">
        <v>1349</v>
      </c>
      <c r="G55" s="11" t="str">
        <f t="shared" si="1"/>
        <v>Low</v>
      </c>
    </row>
    <row r="56" spans="1:7" x14ac:dyDescent="0.3">
      <c r="A56">
        <v>1844505072</v>
      </c>
      <c r="B56" s="1">
        <v>42467</v>
      </c>
      <c r="C56" s="1" t="str">
        <f t="shared" si="0"/>
        <v>Thursday</v>
      </c>
      <c r="D56" s="7">
        <v>6344</v>
      </c>
      <c r="E56" s="5">
        <v>4.1900000572204599</v>
      </c>
      <c r="F56" s="7">
        <v>1965</v>
      </c>
      <c r="G56" s="11" t="str">
        <f t="shared" si="1"/>
        <v>Moderate</v>
      </c>
    </row>
    <row r="57" spans="1:7" x14ac:dyDescent="0.3">
      <c r="A57">
        <v>1844505072</v>
      </c>
      <c r="B57" s="1">
        <v>42468</v>
      </c>
      <c r="C57" s="1" t="str">
        <f t="shared" si="0"/>
        <v>Friday</v>
      </c>
      <c r="D57" s="7">
        <v>5316</v>
      </c>
      <c r="E57" s="5">
        <v>3.5099999904632599</v>
      </c>
      <c r="F57" s="7">
        <v>1824</v>
      </c>
      <c r="G57" s="11" t="str">
        <f t="shared" si="1"/>
        <v>Moderate</v>
      </c>
    </row>
    <row r="58" spans="1:7" x14ac:dyDescent="0.3">
      <c r="A58">
        <v>1844505072</v>
      </c>
      <c r="B58" s="1">
        <v>42469</v>
      </c>
      <c r="C58" s="1" t="str">
        <f t="shared" si="0"/>
        <v>Saturday</v>
      </c>
      <c r="D58" s="7">
        <v>4979</v>
      </c>
      <c r="E58" s="5">
        <v>3.28999996185303</v>
      </c>
      <c r="F58" s="7">
        <v>1807</v>
      </c>
      <c r="G58" s="11" t="str">
        <f t="shared" si="1"/>
        <v>Low</v>
      </c>
    </row>
    <row r="59" spans="1:7" x14ac:dyDescent="0.3">
      <c r="A59">
        <v>1844505072</v>
      </c>
      <c r="B59" s="1">
        <v>42470</v>
      </c>
      <c r="C59" s="1" t="str">
        <f t="shared" si="0"/>
        <v>Sunday</v>
      </c>
      <c r="D59" s="7">
        <v>6556</v>
      </c>
      <c r="E59" s="5">
        <v>4.3400001525878897</v>
      </c>
      <c r="F59" s="7">
        <v>1971</v>
      </c>
      <c r="G59" s="11" t="str">
        <f t="shared" si="1"/>
        <v>Moderate</v>
      </c>
    </row>
    <row r="60" spans="1:7" x14ac:dyDescent="0.3">
      <c r="A60">
        <v>1844505072</v>
      </c>
      <c r="B60" s="1">
        <v>42471</v>
      </c>
      <c r="C60" s="1" t="str">
        <f t="shared" si="0"/>
        <v>Monday</v>
      </c>
      <c r="D60" s="7">
        <v>5430</v>
      </c>
      <c r="E60" s="5">
        <v>3.5899999141693102</v>
      </c>
      <c r="F60" s="7">
        <v>1888</v>
      </c>
      <c r="G60" s="11" t="str">
        <f t="shared" si="1"/>
        <v>Moderate</v>
      </c>
    </row>
    <row r="61" spans="1:7" x14ac:dyDescent="0.3">
      <c r="A61">
        <v>1844505072</v>
      </c>
      <c r="B61" s="1">
        <v>42472</v>
      </c>
      <c r="C61" s="1" t="str">
        <f t="shared" si="0"/>
        <v>Tuesday</v>
      </c>
      <c r="D61" s="7">
        <v>0</v>
      </c>
      <c r="E61" s="5">
        <v>0</v>
      </c>
      <c r="F61" s="7">
        <v>399</v>
      </c>
      <c r="G61" s="11" t="str">
        <f t="shared" si="1"/>
        <v>Low</v>
      </c>
    </row>
    <row r="62" spans="1:7" x14ac:dyDescent="0.3">
      <c r="A62">
        <v>1927972279</v>
      </c>
      <c r="B62" s="1">
        <v>42461</v>
      </c>
      <c r="C62" s="1" t="str">
        <f t="shared" si="0"/>
        <v>Friday</v>
      </c>
      <c r="D62" s="7">
        <v>4317</v>
      </c>
      <c r="E62" s="5">
        <v>2.9900000095367401</v>
      </c>
      <c r="F62" s="7">
        <v>2590</v>
      </c>
      <c r="G62" s="11" t="str">
        <f t="shared" si="1"/>
        <v>Low</v>
      </c>
    </row>
    <row r="63" spans="1:7" x14ac:dyDescent="0.3">
      <c r="A63">
        <v>1927972279</v>
      </c>
      <c r="B63" s="1">
        <v>42462</v>
      </c>
      <c r="C63" s="1" t="str">
        <f t="shared" si="0"/>
        <v>Saturday</v>
      </c>
      <c r="D63" s="7">
        <v>5662</v>
      </c>
      <c r="E63" s="5">
        <v>3.9200000762939502</v>
      </c>
      <c r="F63" s="7">
        <v>2783</v>
      </c>
      <c r="G63" s="11" t="str">
        <f t="shared" si="1"/>
        <v>Moderate</v>
      </c>
    </row>
    <row r="64" spans="1:7" x14ac:dyDescent="0.3">
      <c r="A64">
        <v>1927972279</v>
      </c>
      <c r="B64" s="1">
        <v>42463</v>
      </c>
      <c r="C64" s="1" t="str">
        <f t="shared" si="0"/>
        <v>Sunday</v>
      </c>
      <c r="D64" s="7">
        <v>3198</v>
      </c>
      <c r="E64" s="5">
        <v>2.21000003814697</v>
      </c>
      <c r="F64" s="7">
        <v>2449</v>
      </c>
      <c r="G64" s="11" t="str">
        <f t="shared" si="1"/>
        <v>Low</v>
      </c>
    </row>
    <row r="65" spans="1:7" x14ac:dyDescent="0.3">
      <c r="A65">
        <v>1927972279</v>
      </c>
      <c r="B65" s="1">
        <v>42464</v>
      </c>
      <c r="C65" s="1" t="str">
        <f t="shared" si="0"/>
        <v>Monday</v>
      </c>
      <c r="D65" s="7">
        <v>2352</v>
      </c>
      <c r="E65" s="5">
        <v>1.62999999523163</v>
      </c>
      <c r="F65" s="7">
        <v>2380</v>
      </c>
      <c r="G65" s="11" t="str">
        <f t="shared" si="1"/>
        <v>Low</v>
      </c>
    </row>
    <row r="66" spans="1:7" x14ac:dyDescent="0.3">
      <c r="A66">
        <v>1927972279</v>
      </c>
      <c r="B66" s="1">
        <v>42465</v>
      </c>
      <c r="C66" s="1" t="str">
        <f t="shared" si="0"/>
        <v>Tuesday</v>
      </c>
      <c r="D66" s="7">
        <v>2234</v>
      </c>
      <c r="E66" s="5">
        <v>1.54999995231628</v>
      </c>
      <c r="F66" s="7">
        <v>2344</v>
      </c>
      <c r="G66" s="11" t="str">
        <f t="shared" si="1"/>
        <v>Low</v>
      </c>
    </row>
    <row r="67" spans="1:7" x14ac:dyDescent="0.3">
      <c r="A67">
        <v>1927972279</v>
      </c>
      <c r="B67" s="1">
        <v>42466</v>
      </c>
      <c r="C67" s="1" t="str">
        <f t="shared" ref="C67:C130" si="2">TEXT(B67,"dddd")</f>
        <v>Wednesday</v>
      </c>
      <c r="D67" s="7">
        <v>1259</v>
      </c>
      <c r="E67" s="5">
        <v>0.87000000476837203</v>
      </c>
      <c r="F67" s="7">
        <v>2202</v>
      </c>
      <c r="G67" s="11" t="str">
        <f t="shared" ref="G67:G130" si="3">IF(D67&lt;5000,"Low",IF(D67&lt;=10000,"Moderate","High"))</f>
        <v>Low</v>
      </c>
    </row>
    <row r="68" spans="1:7" x14ac:dyDescent="0.3">
      <c r="A68">
        <v>1927972279</v>
      </c>
      <c r="B68" s="1">
        <v>42467</v>
      </c>
      <c r="C68" s="1" t="str">
        <f t="shared" si="2"/>
        <v>Thursday</v>
      </c>
      <c r="D68" s="7">
        <v>768</v>
      </c>
      <c r="E68" s="5">
        <v>0.52999997138977095</v>
      </c>
      <c r="F68" s="7">
        <v>2130</v>
      </c>
      <c r="G68" s="11" t="str">
        <f t="shared" si="3"/>
        <v>Low</v>
      </c>
    </row>
    <row r="69" spans="1:7" x14ac:dyDescent="0.3">
      <c r="A69">
        <v>1927972279</v>
      </c>
      <c r="B69" s="1">
        <v>42468</v>
      </c>
      <c r="C69" s="1" t="str">
        <f t="shared" si="2"/>
        <v>Friday</v>
      </c>
      <c r="D69" s="7">
        <v>519</v>
      </c>
      <c r="E69" s="5">
        <v>0.36000001430511502</v>
      </c>
      <c r="F69" s="7">
        <v>2088</v>
      </c>
      <c r="G69" s="11" t="str">
        <f t="shared" si="3"/>
        <v>Low</v>
      </c>
    </row>
    <row r="70" spans="1:7" x14ac:dyDescent="0.3">
      <c r="A70">
        <v>1927972279</v>
      </c>
      <c r="B70" s="1">
        <v>42469</v>
      </c>
      <c r="C70" s="1" t="str">
        <f t="shared" si="2"/>
        <v>Saturday</v>
      </c>
      <c r="D70" s="7">
        <v>2523</v>
      </c>
      <c r="E70" s="5">
        <v>1.75</v>
      </c>
      <c r="F70" s="7">
        <v>2443</v>
      </c>
      <c r="G70" s="11" t="str">
        <f t="shared" si="3"/>
        <v>Low</v>
      </c>
    </row>
    <row r="71" spans="1:7" x14ac:dyDescent="0.3">
      <c r="A71">
        <v>1927972279</v>
      </c>
      <c r="B71" s="1">
        <v>42470</v>
      </c>
      <c r="C71" s="1" t="str">
        <f t="shared" si="2"/>
        <v>Sunday</v>
      </c>
      <c r="D71" s="7">
        <v>2105</v>
      </c>
      <c r="E71" s="5">
        <v>1.46000003814697</v>
      </c>
      <c r="F71" s="7">
        <v>2442</v>
      </c>
      <c r="G71" s="11" t="str">
        <f t="shared" si="3"/>
        <v>Low</v>
      </c>
    </row>
    <row r="72" spans="1:7" x14ac:dyDescent="0.3">
      <c r="A72">
        <v>1927972279</v>
      </c>
      <c r="B72" s="1">
        <v>42471</v>
      </c>
      <c r="C72" s="1" t="str">
        <f t="shared" si="2"/>
        <v>Monday</v>
      </c>
      <c r="D72" s="7">
        <v>1209</v>
      </c>
      <c r="E72" s="5">
        <v>0.83999997377395597</v>
      </c>
      <c r="F72" s="7">
        <v>2255</v>
      </c>
      <c r="G72" s="11" t="str">
        <f t="shared" si="3"/>
        <v>Low</v>
      </c>
    </row>
    <row r="73" spans="1:7" x14ac:dyDescent="0.3">
      <c r="A73">
        <v>1927972279</v>
      </c>
      <c r="B73" s="1">
        <v>42472</v>
      </c>
      <c r="C73" s="1" t="str">
        <f t="shared" si="2"/>
        <v>Tuesday</v>
      </c>
      <c r="D73" s="7">
        <v>24</v>
      </c>
      <c r="E73" s="5">
        <v>1.9999999552965199E-2</v>
      </c>
      <c r="F73" s="7">
        <v>942</v>
      </c>
      <c r="G73" s="11" t="str">
        <f t="shared" si="3"/>
        <v>Low</v>
      </c>
    </row>
    <row r="74" spans="1:7" x14ac:dyDescent="0.3">
      <c r="A74">
        <v>2022484408</v>
      </c>
      <c r="B74" s="1">
        <v>42461</v>
      </c>
      <c r="C74" s="1" t="str">
        <f t="shared" si="2"/>
        <v>Friday</v>
      </c>
      <c r="D74" s="7">
        <v>13603</v>
      </c>
      <c r="E74" s="5">
        <v>9.6000003814697301</v>
      </c>
      <c r="F74" s="7">
        <v>2645</v>
      </c>
      <c r="G74" s="11" t="str">
        <f t="shared" si="3"/>
        <v>High</v>
      </c>
    </row>
    <row r="75" spans="1:7" x14ac:dyDescent="0.3">
      <c r="A75">
        <v>2022484408</v>
      </c>
      <c r="B75" s="1">
        <v>42462</v>
      </c>
      <c r="C75" s="1" t="str">
        <f t="shared" si="2"/>
        <v>Saturday</v>
      </c>
      <c r="D75" s="7">
        <v>5477</v>
      </c>
      <c r="E75" s="5">
        <v>3.8399999141693102</v>
      </c>
      <c r="F75" s="7">
        <v>2040</v>
      </c>
      <c r="G75" s="11" t="str">
        <f t="shared" si="3"/>
        <v>Moderate</v>
      </c>
    </row>
    <row r="76" spans="1:7" x14ac:dyDescent="0.3">
      <c r="A76">
        <v>2022484408</v>
      </c>
      <c r="B76" s="1">
        <v>42463</v>
      </c>
      <c r="C76" s="1" t="str">
        <f t="shared" si="2"/>
        <v>Sunday</v>
      </c>
      <c r="D76" s="7">
        <v>11144</v>
      </c>
      <c r="E76" s="5">
        <v>7.8200001716613796</v>
      </c>
      <c r="F76" s="7">
        <v>2395</v>
      </c>
      <c r="G76" s="11" t="str">
        <f t="shared" si="3"/>
        <v>High</v>
      </c>
    </row>
    <row r="77" spans="1:7" x14ac:dyDescent="0.3">
      <c r="A77">
        <v>2022484408</v>
      </c>
      <c r="B77" s="1">
        <v>42464</v>
      </c>
      <c r="C77" s="1" t="str">
        <f t="shared" si="2"/>
        <v>Monday</v>
      </c>
      <c r="D77" s="7">
        <v>15313</v>
      </c>
      <c r="E77" s="5">
        <v>11</v>
      </c>
      <c r="F77" s="7">
        <v>2581</v>
      </c>
      <c r="G77" s="11" t="str">
        <f t="shared" si="3"/>
        <v>High</v>
      </c>
    </row>
    <row r="78" spans="1:7" x14ac:dyDescent="0.3">
      <c r="A78">
        <v>2022484408</v>
      </c>
      <c r="B78" s="1">
        <v>42465</v>
      </c>
      <c r="C78" s="1" t="str">
        <f t="shared" si="2"/>
        <v>Tuesday</v>
      </c>
      <c r="D78" s="7">
        <v>10805</v>
      </c>
      <c r="E78" s="5">
        <v>7.5900001525878897</v>
      </c>
      <c r="F78" s="7">
        <v>2735</v>
      </c>
      <c r="G78" s="11" t="str">
        <f t="shared" si="3"/>
        <v>High</v>
      </c>
    </row>
    <row r="79" spans="1:7" x14ac:dyDescent="0.3">
      <c r="A79">
        <v>2022484408</v>
      </c>
      <c r="B79" s="1">
        <v>42466</v>
      </c>
      <c r="C79" s="1" t="str">
        <f t="shared" si="2"/>
        <v>Wednesday</v>
      </c>
      <c r="D79" s="7">
        <v>15392</v>
      </c>
      <c r="E79" s="5">
        <v>10.930000305175801</v>
      </c>
      <c r="F79" s="7">
        <v>2733</v>
      </c>
      <c r="G79" s="11" t="str">
        <f t="shared" si="3"/>
        <v>High</v>
      </c>
    </row>
    <row r="80" spans="1:7" x14ac:dyDescent="0.3">
      <c r="A80">
        <v>2022484408</v>
      </c>
      <c r="B80" s="1">
        <v>42467</v>
      </c>
      <c r="C80" s="1" t="str">
        <f t="shared" si="2"/>
        <v>Thursday</v>
      </c>
      <c r="D80" s="7">
        <v>18247</v>
      </c>
      <c r="E80" s="5">
        <v>13.829999923706101</v>
      </c>
      <c r="F80" s="7">
        <v>3021</v>
      </c>
      <c r="G80" s="11" t="str">
        <f t="shared" si="3"/>
        <v>High</v>
      </c>
    </row>
    <row r="81" spans="1:7" x14ac:dyDescent="0.3">
      <c r="A81">
        <v>2022484408</v>
      </c>
      <c r="B81" s="1">
        <v>42468</v>
      </c>
      <c r="C81" s="1" t="str">
        <f t="shared" si="2"/>
        <v>Friday</v>
      </c>
      <c r="D81" s="7">
        <v>13023</v>
      </c>
      <c r="E81" s="5">
        <v>9.2600002288818395</v>
      </c>
      <c r="F81" s="7">
        <v>2577</v>
      </c>
      <c r="G81" s="11" t="str">
        <f t="shared" si="3"/>
        <v>High</v>
      </c>
    </row>
    <row r="82" spans="1:7" x14ac:dyDescent="0.3">
      <c r="A82">
        <v>2022484408</v>
      </c>
      <c r="B82" s="1">
        <v>42469</v>
      </c>
      <c r="C82" s="1" t="str">
        <f t="shared" si="2"/>
        <v>Saturday</v>
      </c>
      <c r="D82" s="7">
        <v>16267</v>
      </c>
      <c r="E82" s="5">
        <v>12.5900001525879</v>
      </c>
      <c r="F82" s="7">
        <v>2811</v>
      </c>
      <c r="G82" s="11" t="str">
        <f t="shared" si="3"/>
        <v>High</v>
      </c>
    </row>
    <row r="83" spans="1:7" x14ac:dyDescent="0.3">
      <c r="A83">
        <v>2022484408</v>
      </c>
      <c r="B83" s="1">
        <v>42470</v>
      </c>
      <c r="C83" s="1" t="str">
        <f t="shared" si="2"/>
        <v>Sunday</v>
      </c>
      <c r="D83" s="7">
        <v>10005</v>
      </c>
      <c r="E83" s="5">
        <v>7.0199999809265101</v>
      </c>
      <c r="F83" s="7">
        <v>2458</v>
      </c>
      <c r="G83" s="11" t="str">
        <f t="shared" si="3"/>
        <v>High</v>
      </c>
    </row>
    <row r="84" spans="1:7" x14ac:dyDescent="0.3">
      <c r="A84">
        <v>2022484408</v>
      </c>
      <c r="B84" s="1">
        <v>42471</v>
      </c>
      <c r="C84" s="1" t="str">
        <f t="shared" si="2"/>
        <v>Monday</v>
      </c>
      <c r="D84" s="7">
        <v>10106</v>
      </c>
      <c r="E84" s="5">
        <v>7.0900001525878897</v>
      </c>
      <c r="F84" s="7">
        <v>2568</v>
      </c>
      <c r="G84" s="11" t="str">
        <f t="shared" si="3"/>
        <v>High</v>
      </c>
    </row>
    <row r="85" spans="1:7" x14ac:dyDescent="0.3">
      <c r="A85">
        <v>2022484408</v>
      </c>
      <c r="B85" s="1">
        <v>42472</v>
      </c>
      <c r="C85" s="1" t="str">
        <f t="shared" si="2"/>
        <v>Tuesday</v>
      </c>
      <c r="D85" s="7">
        <v>6717</v>
      </c>
      <c r="E85" s="5">
        <v>4.7199997901916504</v>
      </c>
      <c r="F85" s="7">
        <v>1140</v>
      </c>
      <c r="G85" s="11" t="str">
        <f t="shared" si="3"/>
        <v>Moderate</v>
      </c>
    </row>
    <row r="86" spans="1:7" x14ac:dyDescent="0.3">
      <c r="A86">
        <v>2026352035</v>
      </c>
      <c r="B86" s="1">
        <v>42461</v>
      </c>
      <c r="C86" s="1" t="str">
        <f t="shared" si="2"/>
        <v>Friday</v>
      </c>
      <c r="D86" s="7">
        <v>2605</v>
      </c>
      <c r="E86" s="5">
        <v>1.62000000476837</v>
      </c>
      <c r="F86" s="7">
        <v>1407</v>
      </c>
      <c r="G86" s="11" t="str">
        <f t="shared" si="3"/>
        <v>Low</v>
      </c>
    </row>
    <row r="87" spans="1:7" x14ac:dyDescent="0.3">
      <c r="A87">
        <v>2026352035</v>
      </c>
      <c r="B87" s="1">
        <v>42462</v>
      </c>
      <c r="C87" s="1" t="str">
        <f t="shared" si="2"/>
        <v>Saturday</v>
      </c>
      <c r="D87" s="7">
        <v>1229</v>
      </c>
      <c r="E87" s="5">
        <v>0.75999999046325695</v>
      </c>
      <c r="F87" s="7">
        <v>1237</v>
      </c>
      <c r="G87" s="11" t="str">
        <f t="shared" si="3"/>
        <v>Low</v>
      </c>
    </row>
    <row r="88" spans="1:7" x14ac:dyDescent="0.3">
      <c r="A88">
        <v>2026352035</v>
      </c>
      <c r="B88" s="1">
        <v>42463</v>
      </c>
      <c r="C88" s="1" t="str">
        <f t="shared" si="2"/>
        <v>Sunday</v>
      </c>
      <c r="D88" s="7">
        <v>2308</v>
      </c>
      <c r="E88" s="5">
        <v>1.4299999475479099</v>
      </c>
      <c r="F88" s="7">
        <v>1330</v>
      </c>
      <c r="G88" s="11" t="str">
        <f t="shared" si="3"/>
        <v>Low</v>
      </c>
    </row>
    <row r="89" spans="1:7" x14ac:dyDescent="0.3">
      <c r="A89">
        <v>2026352035</v>
      </c>
      <c r="B89" s="1">
        <v>42464</v>
      </c>
      <c r="C89" s="1" t="str">
        <f t="shared" si="2"/>
        <v>Monday</v>
      </c>
      <c r="D89" s="7">
        <v>6679</v>
      </c>
      <c r="E89" s="5">
        <v>4.1399998664856001</v>
      </c>
      <c r="F89" s="7">
        <v>1583</v>
      </c>
      <c r="G89" s="11" t="str">
        <f t="shared" si="3"/>
        <v>Moderate</v>
      </c>
    </row>
    <row r="90" spans="1:7" x14ac:dyDescent="0.3">
      <c r="A90">
        <v>2026352035</v>
      </c>
      <c r="B90" s="1">
        <v>42465</v>
      </c>
      <c r="C90" s="1" t="str">
        <f t="shared" si="2"/>
        <v>Tuesday</v>
      </c>
      <c r="D90" s="7">
        <v>5645</v>
      </c>
      <c r="E90" s="5">
        <v>3.5</v>
      </c>
      <c r="F90" s="7">
        <v>1538</v>
      </c>
      <c r="G90" s="11" t="str">
        <f t="shared" si="3"/>
        <v>Moderate</v>
      </c>
    </row>
    <row r="91" spans="1:7" x14ac:dyDescent="0.3">
      <c r="A91">
        <v>2026352035</v>
      </c>
      <c r="B91" s="1">
        <v>42466</v>
      </c>
      <c r="C91" s="1" t="str">
        <f t="shared" si="2"/>
        <v>Wednesday</v>
      </c>
      <c r="D91" s="7">
        <v>3180</v>
      </c>
      <c r="E91" s="5">
        <v>1.9700000286102299</v>
      </c>
      <c r="F91" s="7">
        <v>1421</v>
      </c>
      <c r="G91" s="11" t="str">
        <f t="shared" si="3"/>
        <v>Low</v>
      </c>
    </row>
    <row r="92" spans="1:7" x14ac:dyDescent="0.3">
      <c r="A92">
        <v>2026352035</v>
      </c>
      <c r="B92" s="1">
        <v>42467</v>
      </c>
      <c r="C92" s="1" t="str">
        <f t="shared" si="2"/>
        <v>Thursday</v>
      </c>
      <c r="D92" s="7">
        <v>2767</v>
      </c>
      <c r="E92" s="5">
        <v>1.7200000286102299</v>
      </c>
      <c r="F92" s="7">
        <v>1392</v>
      </c>
      <c r="G92" s="11" t="str">
        <f t="shared" si="3"/>
        <v>Low</v>
      </c>
    </row>
    <row r="93" spans="1:7" x14ac:dyDescent="0.3">
      <c r="A93">
        <v>2026352035</v>
      </c>
      <c r="B93" s="1">
        <v>42468</v>
      </c>
      <c r="C93" s="1" t="str">
        <f t="shared" si="2"/>
        <v>Friday</v>
      </c>
      <c r="D93" s="7">
        <v>3762</v>
      </c>
      <c r="E93" s="5">
        <v>2.3299999237060498</v>
      </c>
      <c r="F93" s="7">
        <v>1425</v>
      </c>
      <c r="G93" s="11" t="str">
        <f t="shared" si="3"/>
        <v>Low</v>
      </c>
    </row>
    <row r="94" spans="1:7" x14ac:dyDescent="0.3">
      <c r="A94">
        <v>2026352035</v>
      </c>
      <c r="B94" s="1">
        <v>42469</v>
      </c>
      <c r="C94" s="1" t="str">
        <f t="shared" si="2"/>
        <v>Saturday</v>
      </c>
      <c r="D94" s="7">
        <v>3098</v>
      </c>
      <c r="E94" s="5">
        <v>1.91999995708466</v>
      </c>
      <c r="F94" s="7">
        <v>1413</v>
      </c>
      <c r="G94" s="11" t="str">
        <f t="shared" si="3"/>
        <v>Low</v>
      </c>
    </row>
    <row r="95" spans="1:7" x14ac:dyDescent="0.3">
      <c r="A95">
        <v>2026352035</v>
      </c>
      <c r="B95" s="1">
        <v>42470</v>
      </c>
      <c r="C95" s="1" t="str">
        <f t="shared" si="2"/>
        <v>Sunday</v>
      </c>
      <c r="D95" s="7">
        <v>5142</v>
      </c>
      <c r="E95" s="5">
        <v>3.1900000572204599</v>
      </c>
      <c r="F95" s="7">
        <v>1515</v>
      </c>
      <c r="G95" s="11" t="str">
        <f t="shared" si="3"/>
        <v>Moderate</v>
      </c>
    </row>
    <row r="96" spans="1:7" x14ac:dyDescent="0.3">
      <c r="A96">
        <v>2026352035</v>
      </c>
      <c r="B96" s="1">
        <v>42471</v>
      </c>
      <c r="C96" s="1" t="str">
        <f t="shared" si="2"/>
        <v>Monday</v>
      </c>
      <c r="D96" s="7">
        <v>3279</v>
      </c>
      <c r="E96" s="5">
        <v>2.0299999713897701</v>
      </c>
      <c r="F96" s="7">
        <v>1405</v>
      </c>
      <c r="G96" s="11" t="str">
        <f t="shared" si="3"/>
        <v>Low</v>
      </c>
    </row>
    <row r="97" spans="1:7" x14ac:dyDescent="0.3">
      <c r="A97">
        <v>2026352035</v>
      </c>
      <c r="B97" s="1">
        <v>42472</v>
      </c>
      <c r="C97" s="1" t="str">
        <f t="shared" si="2"/>
        <v>Tuesday</v>
      </c>
      <c r="D97" s="7">
        <v>1019</v>
      </c>
      <c r="E97" s="5">
        <v>0.62999999523162797</v>
      </c>
      <c r="F97" s="7">
        <v>600</v>
      </c>
      <c r="G97" s="11" t="str">
        <f t="shared" si="3"/>
        <v>Low</v>
      </c>
    </row>
    <row r="98" spans="1:7" x14ac:dyDescent="0.3">
      <c r="A98">
        <v>2320127002</v>
      </c>
      <c r="B98" s="1">
        <v>42461</v>
      </c>
      <c r="C98" s="1" t="str">
        <f t="shared" si="2"/>
        <v>Friday</v>
      </c>
      <c r="D98" s="7">
        <v>0</v>
      </c>
      <c r="E98" s="5">
        <v>0</v>
      </c>
      <c r="F98" s="7">
        <v>1324</v>
      </c>
      <c r="G98" s="11" t="str">
        <f t="shared" si="3"/>
        <v>Low</v>
      </c>
    </row>
    <row r="99" spans="1:7" x14ac:dyDescent="0.3">
      <c r="A99">
        <v>2320127002</v>
      </c>
      <c r="B99" s="1">
        <v>42462</v>
      </c>
      <c r="C99" s="1" t="str">
        <f t="shared" si="2"/>
        <v>Saturday</v>
      </c>
      <c r="D99" s="7">
        <v>0</v>
      </c>
      <c r="E99" s="5">
        <v>0</v>
      </c>
      <c r="F99" s="7">
        <v>1324</v>
      </c>
      <c r="G99" s="11" t="str">
        <f t="shared" si="3"/>
        <v>Low</v>
      </c>
    </row>
    <row r="100" spans="1:7" x14ac:dyDescent="0.3">
      <c r="A100">
        <v>2320127002</v>
      </c>
      <c r="B100" s="1">
        <v>42463</v>
      </c>
      <c r="C100" s="1" t="str">
        <f t="shared" si="2"/>
        <v>Sunday</v>
      </c>
      <c r="D100" s="7">
        <v>0</v>
      </c>
      <c r="E100" s="5">
        <v>0</v>
      </c>
      <c r="F100" s="7">
        <v>1324</v>
      </c>
      <c r="G100" s="11" t="str">
        <f t="shared" si="3"/>
        <v>Low</v>
      </c>
    </row>
    <row r="101" spans="1:7" x14ac:dyDescent="0.3">
      <c r="A101">
        <v>2320127002</v>
      </c>
      <c r="B101" s="1">
        <v>42464</v>
      </c>
      <c r="C101" s="1" t="str">
        <f t="shared" si="2"/>
        <v>Monday</v>
      </c>
      <c r="D101" s="7">
        <v>0</v>
      </c>
      <c r="E101" s="5">
        <v>0</v>
      </c>
      <c r="F101" s="7">
        <v>1324</v>
      </c>
      <c r="G101" s="11" t="str">
        <f t="shared" si="3"/>
        <v>Low</v>
      </c>
    </row>
    <row r="102" spans="1:7" x14ac:dyDescent="0.3">
      <c r="A102">
        <v>2320127002</v>
      </c>
      <c r="B102" s="1">
        <v>42465</v>
      </c>
      <c r="C102" s="1" t="str">
        <f t="shared" si="2"/>
        <v>Tuesday</v>
      </c>
      <c r="D102" s="7">
        <v>4931</v>
      </c>
      <c r="E102" s="5">
        <v>3.3199999332428001</v>
      </c>
      <c r="F102" s="7">
        <v>1708</v>
      </c>
      <c r="G102" s="11" t="str">
        <f t="shared" si="3"/>
        <v>Low</v>
      </c>
    </row>
    <row r="103" spans="1:7" x14ac:dyDescent="0.3">
      <c r="A103">
        <v>2320127002</v>
      </c>
      <c r="B103" s="1">
        <v>42466</v>
      </c>
      <c r="C103" s="1" t="str">
        <f t="shared" si="2"/>
        <v>Wednesday</v>
      </c>
      <c r="D103" s="7">
        <v>6999</v>
      </c>
      <c r="E103" s="5">
        <v>4.7199997901916504</v>
      </c>
      <c r="F103" s="7">
        <v>1950</v>
      </c>
      <c r="G103" s="11" t="str">
        <f t="shared" si="3"/>
        <v>Moderate</v>
      </c>
    </row>
    <row r="104" spans="1:7" x14ac:dyDescent="0.3">
      <c r="A104">
        <v>2320127002</v>
      </c>
      <c r="B104" s="1">
        <v>42467</v>
      </c>
      <c r="C104" s="1" t="str">
        <f t="shared" si="2"/>
        <v>Thursday</v>
      </c>
      <c r="D104" s="7">
        <v>1846</v>
      </c>
      <c r="E104" s="5">
        <v>1.2400000095367401</v>
      </c>
      <c r="F104" s="7">
        <v>1508</v>
      </c>
      <c r="G104" s="11" t="str">
        <f t="shared" si="3"/>
        <v>Low</v>
      </c>
    </row>
    <row r="105" spans="1:7" x14ac:dyDescent="0.3">
      <c r="A105">
        <v>2320127002</v>
      </c>
      <c r="B105" s="1">
        <v>42468</v>
      </c>
      <c r="C105" s="1" t="str">
        <f t="shared" si="2"/>
        <v>Friday</v>
      </c>
      <c r="D105" s="7">
        <v>3417</v>
      </c>
      <c r="E105" s="5">
        <v>2.2999999523162802</v>
      </c>
      <c r="F105" s="7">
        <v>1625</v>
      </c>
      <c r="G105" s="11" t="str">
        <f t="shared" si="3"/>
        <v>Low</v>
      </c>
    </row>
    <row r="106" spans="1:7" x14ac:dyDescent="0.3">
      <c r="A106">
        <v>2320127002</v>
      </c>
      <c r="B106" s="1">
        <v>42469</v>
      </c>
      <c r="C106" s="1" t="str">
        <f t="shared" si="2"/>
        <v>Saturday</v>
      </c>
      <c r="D106" s="7">
        <v>4863</v>
      </c>
      <c r="E106" s="5">
        <v>3.2799999713897701</v>
      </c>
      <c r="F106" s="7">
        <v>1772</v>
      </c>
      <c r="G106" s="11" t="str">
        <f t="shared" si="3"/>
        <v>Low</v>
      </c>
    </row>
    <row r="107" spans="1:7" x14ac:dyDescent="0.3">
      <c r="A107">
        <v>2320127002</v>
      </c>
      <c r="B107" s="1">
        <v>42470</v>
      </c>
      <c r="C107" s="1" t="str">
        <f t="shared" si="2"/>
        <v>Sunday</v>
      </c>
      <c r="D107" s="7">
        <v>2277</v>
      </c>
      <c r="E107" s="5">
        <v>1.5299999713897701</v>
      </c>
      <c r="F107" s="7">
        <v>1530</v>
      </c>
      <c r="G107" s="11" t="str">
        <f t="shared" si="3"/>
        <v>Low</v>
      </c>
    </row>
    <row r="108" spans="1:7" x14ac:dyDescent="0.3">
      <c r="A108">
        <v>2320127002</v>
      </c>
      <c r="B108" s="1">
        <v>42471</v>
      </c>
      <c r="C108" s="1" t="str">
        <f t="shared" si="2"/>
        <v>Monday</v>
      </c>
      <c r="D108" s="7">
        <v>11230</v>
      </c>
      <c r="E108" s="5">
        <v>7.6700000762939498</v>
      </c>
      <c r="F108" s="7">
        <v>2206</v>
      </c>
      <c r="G108" s="11" t="str">
        <f t="shared" si="3"/>
        <v>High</v>
      </c>
    </row>
    <row r="109" spans="1:7" x14ac:dyDescent="0.3">
      <c r="A109">
        <v>2320127002</v>
      </c>
      <c r="B109" s="1">
        <v>42472</v>
      </c>
      <c r="C109" s="1" t="str">
        <f t="shared" si="2"/>
        <v>Tuesday</v>
      </c>
      <c r="D109" s="7">
        <v>2098</v>
      </c>
      <c r="E109" s="5">
        <v>1.4099999666214</v>
      </c>
      <c r="F109" s="7">
        <v>790</v>
      </c>
      <c r="G109" s="11" t="str">
        <f t="shared" si="3"/>
        <v>Low</v>
      </c>
    </row>
    <row r="110" spans="1:7" x14ac:dyDescent="0.3">
      <c r="A110">
        <v>2347167796</v>
      </c>
      <c r="B110" s="1">
        <v>42458</v>
      </c>
      <c r="C110" s="1" t="str">
        <f t="shared" si="2"/>
        <v>Tuesday</v>
      </c>
      <c r="D110" s="7">
        <v>10272</v>
      </c>
      <c r="E110" s="5">
        <v>6.78999996185303</v>
      </c>
      <c r="F110" s="7">
        <v>2041</v>
      </c>
      <c r="G110" s="11" t="str">
        <f t="shared" si="3"/>
        <v>High</v>
      </c>
    </row>
    <row r="111" spans="1:7" x14ac:dyDescent="0.3">
      <c r="A111">
        <v>2347167796</v>
      </c>
      <c r="B111" s="1">
        <v>42459</v>
      </c>
      <c r="C111" s="1" t="str">
        <f t="shared" si="2"/>
        <v>Wednesday</v>
      </c>
      <c r="D111" s="7">
        <v>10533</v>
      </c>
      <c r="E111" s="5">
        <v>7.0999999046325701</v>
      </c>
      <c r="F111" s="7">
        <v>2187</v>
      </c>
      <c r="G111" s="11" t="str">
        <f t="shared" si="3"/>
        <v>High</v>
      </c>
    </row>
    <row r="112" spans="1:7" x14ac:dyDescent="0.3">
      <c r="A112">
        <v>2347167796</v>
      </c>
      <c r="B112" s="1">
        <v>42460</v>
      </c>
      <c r="C112" s="1" t="str">
        <f t="shared" si="2"/>
        <v>Thursday</v>
      </c>
      <c r="D112" s="7">
        <v>6760</v>
      </c>
      <c r="E112" s="5">
        <v>4.4699997901916504</v>
      </c>
      <c r="F112" s="7">
        <v>1929</v>
      </c>
      <c r="G112" s="11" t="str">
        <f t="shared" si="3"/>
        <v>Moderate</v>
      </c>
    </row>
    <row r="113" spans="1:7" x14ac:dyDescent="0.3">
      <c r="A113">
        <v>2347167796</v>
      </c>
      <c r="B113" s="1">
        <v>42461</v>
      </c>
      <c r="C113" s="1" t="str">
        <f t="shared" si="2"/>
        <v>Friday</v>
      </c>
      <c r="D113" s="7">
        <v>8328</v>
      </c>
      <c r="E113" s="5">
        <v>5.5100002288818404</v>
      </c>
      <c r="F113" s="7">
        <v>1935</v>
      </c>
      <c r="G113" s="11" t="str">
        <f t="shared" si="3"/>
        <v>Moderate</v>
      </c>
    </row>
    <row r="114" spans="1:7" x14ac:dyDescent="0.3">
      <c r="A114">
        <v>2347167796</v>
      </c>
      <c r="B114" s="1">
        <v>42462</v>
      </c>
      <c r="C114" s="1" t="str">
        <f t="shared" si="2"/>
        <v>Saturday</v>
      </c>
      <c r="D114" s="7">
        <v>15459</v>
      </c>
      <c r="E114" s="5">
        <v>10.2200002670288</v>
      </c>
      <c r="F114" s="7">
        <v>2438</v>
      </c>
      <c r="G114" s="11" t="str">
        <f t="shared" si="3"/>
        <v>High</v>
      </c>
    </row>
    <row r="115" spans="1:7" x14ac:dyDescent="0.3">
      <c r="A115">
        <v>2347167796</v>
      </c>
      <c r="B115" s="1">
        <v>42463</v>
      </c>
      <c r="C115" s="1" t="str">
        <f t="shared" si="2"/>
        <v>Sunday</v>
      </c>
      <c r="D115" s="7">
        <v>7485</v>
      </c>
      <c r="E115" s="5">
        <v>4.9499998092651403</v>
      </c>
      <c r="F115" s="7">
        <v>2035</v>
      </c>
      <c r="G115" s="11" t="str">
        <f t="shared" si="3"/>
        <v>Moderate</v>
      </c>
    </row>
    <row r="116" spans="1:7" x14ac:dyDescent="0.3">
      <c r="A116">
        <v>2347167796</v>
      </c>
      <c r="B116" s="1">
        <v>42464</v>
      </c>
      <c r="C116" s="1" t="str">
        <f t="shared" si="2"/>
        <v>Monday</v>
      </c>
      <c r="D116" s="7">
        <v>10254</v>
      </c>
      <c r="E116" s="5">
        <v>6.8000001907348597</v>
      </c>
      <c r="F116" s="7">
        <v>2099</v>
      </c>
      <c r="G116" s="11" t="str">
        <f t="shared" si="3"/>
        <v>High</v>
      </c>
    </row>
    <row r="117" spans="1:7" x14ac:dyDescent="0.3">
      <c r="A117">
        <v>2347167796</v>
      </c>
      <c r="B117" s="1">
        <v>42465</v>
      </c>
      <c r="C117" s="1" t="str">
        <f t="shared" si="2"/>
        <v>Tuesday</v>
      </c>
      <c r="D117" s="7">
        <v>10114</v>
      </c>
      <c r="E117" s="5">
        <v>6.8200001716613796</v>
      </c>
      <c r="F117" s="7">
        <v>2096</v>
      </c>
      <c r="G117" s="11" t="str">
        <f t="shared" si="3"/>
        <v>High</v>
      </c>
    </row>
    <row r="118" spans="1:7" x14ac:dyDescent="0.3">
      <c r="A118">
        <v>2347167796</v>
      </c>
      <c r="B118" s="1">
        <v>42466</v>
      </c>
      <c r="C118" s="1" t="str">
        <f t="shared" si="2"/>
        <v>Wednesday</v>
      </c>
      <c r="D118" s="7">
        <v>11107</v>
      </c>
      <c r="E118" s="5">
        <v>7.3400001525878897</v>
      </c>
      <c r="F118" s="7">
        <v>2058</v>
      </c>
      <c r="G118" s="11" t="str">
        <f t="shared" si="3"/>
        <v>High</v>
      </c>
    </row>
    <row r="119" spans="1:7" x14ac:dyDescent="0.3">
      <c r="A119">
        <v>2347167796</v>
      </c>
      <c r="B119" s="1">
        <v>42467</v>
      </c>
      <c r="C119" s="1" t="str">
        <f t="shared" si="2"/>
        <v>Thursday</v>
      </c>
      <c r="D119" s="7">
        <v>10320</v>
      </c>
      <c r="E119" s="5">
        <v>6.8499999046325701</v>
      </c>
      <c r="F119" s="7">
        <v>2338</v>
      </c>
      <c r="G119" s="11" t="str">
        <f t="shared" si="3"/>
        <v>High</v>
      </c>
    </row>
    <row r="120" spans="1:7" x14ac:dyDescent="0.3">
      <c r="A120">
        <v>2347167796</v>
      </c>
      <c r="B120" s="1">
        <v>42468</v>
      </c>
      <c r="C120" s="1" t="str">
        <f t="shared" si="2"/>
        <v>Friday</v>
      </c>
      <c r="D120" s="7">
        <v>10209</v>
      </c>
      <c r="E120" s="5">
        <v>6.75</v>
      </c>
      <c r="F120" s="7">
        <v>2104</v>
      </c>
      <c r="G120" s="11" t="str">
        <f t="shared" si="3"/>
        <v>High</v>
      </c>
    </row>
    <row r="121" spans="1:7" x14ac:dyDescent="0.3">
      <c r="A121">
        <v>2347167796</v>
      </c>
      <c r="B121" s="1">
        <v>42469</v>
      </c>
      <c r="C121" s="1" t="str">
        <f t="shared" si="2"/>
        <v>Saturday</v>
      </c>
      <c r="D121" s="7">
        <v>16081</v>
      </c>
      <c r="E121" s="5">
        <v>10.6300001144409</v>
      </c>
      <c r="F121" s="7">
        <v>2488</v>
      </c>
      <c r="G121" s="11" t="str">
        <f t="shared" si="3"/>
        <v>High</v>
      </c>
    </row>
    <row r="122" spans="1:7" x14ac:dyDescent="0.3">
      <c r="A122">
        <v>2347167796</v>
      </c>
      <c r="B122" s="1">
        <v>42470</v>
      </c>
      <c r="C122" s="1" t="str">
        <f t="shared" si="2"/>
        <v>Sunday</v>
      </c>
      <c r="D122" s="7">
        <v>10078</v>
      </c>
      <c r="E122" s="5">
        <v>6.8299999237060502</v>
      </c>
      <c r="F122" s="7">
        <v>2164</v>
      </c>
      <c r="G122" s="11" t="str">
        <f t="shared" si="3"/>
        <v>High</v>
      </c>
    </row>
    <row r="123" spans="1:7" x14ac:dyDescent="0.3">
      <c r="A123">
        <v>2347167796</v>
      </c>
      <c r="B123" s="1">
        <v>42471</v>
      </c>
      <c r="C123" s="1" t="str">
        <f t="shared" si="2"/>
        <v>Monday</v>
      </c>
      <c r="D123" s="7">
        <v>10001</v>
      </c>
      <c r="E123" s="5">
        <v>6.6100001335143999</v>
      </c>
      <c r="F123" s="7">
        <v>2009</v>
      </c>
      <c r="G123" s="11" t="str">
        <f t="shared" si="3"/>
        <v>High</v>
      </c>
    </row>
    <row r="124" spans="1:7" x14ac:dyDescent="0.3">
      <c r="A124">
        <v>2347167796</v>
      </c>
      <c r="B124" s="1">
        <v>42472</v>
      </c>
      <c r="C124" s="1" t="str">
        <f t="shared" si="2"/>
        <v>Tuesday</v>
      </c>
      <c r="D124" s="7">
        <v>0</v>
      </c>
      <c r="E124" s="5">
        <v>0</v>
      </c>
      <c r="F124" s="7">
        <v>399</v>
      </c>
      <c r="G124" s="11" t="str">
        <f t="shared" si="3"/>
        <v>Low</v>
      </c>
    </row>
    <row r="125" spans="1:7" x14ac:dyDescent="0.3">
      <c r="A125">
        <v>2873212765</v>
      </c>
      <c r="B125" s="1">
        <v>42461</v>
      </c>
      <c r="C125" s="1" t="str">
        <f t="shared" si="2"/>
        <v>Friday</v>
      </c>
      <c r="D125" s="7">
        <v>890</v>
      </c>
      <c r="E125" s="5">
        <v>0.60000002384185802</v>
      </c>
      <c r="F125" s="7">
        <v>1335</v>
      </c>
      <c r="G125" s="11" t="str">
        <f t="shared" si="3"/>
        <v>Low</v>
      </c>
    </row>
    <row r="126" spans="1:7" x14ac:dyDescent="0.3">
      <c r="A126">
        <v>2873212765</v>
      </c>
      <c r="B126" s="1">
        <v>42462</v>
      </c>
      <c r="C126" s="1" t="str">
        <f t="shared" si="2"/>
        <v>Saturday</v>
      </c>
      <c r="D126" s="7">
        <v>2214</v>
      </c>
      <c r="E126" s="5">
        <v>1.4900000095367401</v>
      </c>
      <c r="F126" s="7">
        <v>1559</v>
      </c>
      <c r="G126" s="11" t="str">
        <f t="shared" si="3"/>
        <v>Low</v>
      </c>
    </row>
    <row r="127" spans="1:7" x14ac:dyDescent="0.3">
      <c r="A127">
        <v>2873212765</v>
      </c>
      <c r="B127" s="1">
        <v>42463</v>
      </c>
      <c r="C127" s="1" t="str">
        <f t="shared" si="2"/>
        <v>Sunday</v>
      </c>
      <c r="D127" s="7">
        <v>7640</v>
      </c>
      <c r="E127" s="5">
        <v>5.1300001144409197</v>
      </c>
      <c r="F127" s="7">
        <v>1845</v>
      </c>
      <c r="G127" s="11" t="str">
        <f t="shared" si="3"/>
        <v>Moderate</v>
      </c>
    </row>
    <row r="128" spans="1:7" x14ac:dyDescent="0.3">
      <c r="A128">
        <v>2873212765</v>
      </c>
      <c r="B128" s="1">
        <v>42464</v>
      </c>
      <c r="C128" s="1" t="str">
        <f t="shared" si="2"/>
        <v>Monday</v>
      </c>
      <c r="D128" s="7">
        <v>9713</v>
      </c>
      <c r="E128" s="5">
        <v>6.5300002098083496</v>
      </c>
      <c r="F128" s="7">
        <v>2046</v>
      </c>
      <c r="G128" s="11" t="str">
        <f t="shared" si="3"/>
        <v>Moderate</v>
      </c>
    </row>
    <row r="129" spans="1:7" x14ac:dyDescent="0.3">
      <c r="A129">
        <v>2873212765</v>
      </c>
      <c r="B129" s="1">
        <v>42465</v>
      </c>
      <c r="C129" s="1" t="str">
        <f t="shared" si="2"/>
        <v>Tuesday</v>
      </c>
      <c r="D129" s="7">
        <v>8432</v>
      </c>
      <c r="E129" s="5">
        <v>5.6700000762939498</v>
      </c>
      <c r="F129" s="7">
        <v>1953</v>
      </c>
      <c r="G129" s="11" t="str">
        <f t="shared" si="3"/>
        <v>Moderate</v>
      </c>
    </row>
    <row r="130" spans="1:7" x14ac:dyDescent="0.3">
      <c r="A130">
        <v>2873212765</v>
      </c>
      <c r="B130" s="1">
        <v>42466</v>
      </c>
      <c r="C130" s="1" t="str">
        <f t="shared" si="2"/>
        <v>Wednesday</v>
      </c>
      <c r="D130" s="7">
        <v>7350</v>
      </c>
      <c r="E130" s="5">
        <v>4.9400000572204599</v>
      </c>
      <c r="F130" s="7">
        <v>1910</v>
      </c>
      <c r="G130" s="11" t="str">
        <f t="shared" si="3"/>
        <v>Moderate</v>
      </c>
    </row>
    <row r="131" spans="1:7" x14ac:dyDescent="0.3">
      <c r="A131">
        <v>2873212765</v>
      </c>
      <c r="B131" s="1">
        <v>42467</v>
      </c>
      <c r="C131" s="1" t="str">
        <f t="shared" ref="C131:C194" si="4">TEXT(B131,"dddd")</f>
        <v>Thursday</v>
      </c>
      <c r="D131" s="7">
        <v>9353</v>
      </c>
      <c r="E131" s="5">
        <v>6.3099999427795401</v>
      </c>
      <c r="F131" s="7">
        <v>2035</v>
      </c>
      <c r="G131" s="11" t="str">
        <f t="shared" ref="G131:G194" si="5">IF(D131&lt;5000,"Low",IF(D131&lt;=10000,"Moderate","High"))</f>
        <v>Moderate</v>
      </c>
    </row>
    <row r="132" spans="1:7" x14ac:dyDescent="0.3">
      <c r="A132">
        <v>2873212765</v>
      </c>
      <c r="B132" s="1">
        <v>42468</v>
      </c>
      <c r="C132" s="1" t="str">
        <f t="shared" si="4"/>
        <v>Friday</v>
      </c>
      <c r="D132" s="7">
        <v>7157</v>
      </c>
      <c r="E132" s="5">
        <v>4.8099999427795401</v>
      </c>
      <c r="F132" s="7">
        <v>1944</v>
      </c>
      <c r="G132" s="11" t="str">
        <f t="shared" si="5"/>
        <v>Moderate</v>
      </c>
    </row>
    <row r="133" spans="1:7" x14ac:dyDescent="0.3">
      <c r="A133">
        <v>2873212765</v>
      </c>
      <c r="B133" s="1">
        <v>42469</v>
      </c>
      <c r="C133" s="1" t="str">
        <f t="shared" si="4"/>
        <v>Saturday</v>
      </c>
      <c r="D133" s="7">
        <v>14103</v>
      </c>
      <c r="E133" s="5">
        <v>9.5600004196166992</v>
      </c>
      <c r="F133" s="7">
        <v>2257</v>
      </c>
      <c r="G133" s="11" t="str">
        <f t="shared" si="5"/>
        <v>High</v>
      </c>
    </row>
    <row r="134" spans="1:7" x14ac:dyDescent="0.3">
      <c r="A134">
        <v>2873212765</v>
      </c>
      <c r="B134" s="1">
        <v>42470</v>
      </c>
      <c r="C134" s="1" t="str">
        <f t="shared" si="4"/>
        <v>Sunday</v>
      </c>
      <c r="D134" s="7">
        <v>5290</v>
      </c>
      <c r="E134" s="5">
        <v>3.5499999523162802</v>
      </c>
      <c r="F134" s="7">
        <v>1724</v>
      </c>
      <c r="G134" s="11" t="str">
        <f t="shared" si="5"/>
        <v>Moderate</v>
      </c>
    </row>
    <row r="135" spans="1:7" x14ac:dyDescent="0.3">
      <c r="A135">
        <v>2873212765</v>
      </c>
      <c r="B135" s="1">
        <v>42471</v>
      </c>
      <c r="C135" s="1" t="str">
        <f t="shared" si="4"/>
        <v>Monday</v>
      </c>
      <c r="D135" s="7">
        <v>7497</v>
      </c>
      <c r="E135" s="5">
        <v>5.03999996185303</v>
      </c>
      <c r="F135" s="7">
        <v>1741</v>
      </c>
      <c r="G135" s="11" t="str">
        <f t="shared" si="5"/>
        <v>Moderate</v>
      </c>
    </row>
    <row r="136" spans="1:7" x14ac:dyDescent="0.3">
      <c r="A136">
        <v>2873212765</v>
      </c>
      <c r="B136" s="1">
        <v>42472</v>
      </c>
      <c r="C136" s="1" t="str">
        <f t="shared" si="4"/>
        <v>Tuesday</v>
      </c>
      <c r="D136" s="7">
        <v>0</v>
      </c>
      <c r="E136" s="5">
        <v>0</v>
      </c>
      <c r="F136" s="7">
        <v>0</v>
      </c>
      <c r="G136" s="11" t="str">
        <f t="shared" si="5"/>
        <v>Low</v>
      </c>
    </row>
    <row r="137" spans="1:7" x14ac:dyDescent="0.3">
      <c r="A137">
        <v>2891001357</v>
      </c>
      <c r="B137" s="1">
        <v>42458</v>
      </c>
      <c r="C137" s="1" t="str">
        <f t="shared" si="4"/>
        <v>Tuesday</v>
      </c>
      <c r="D137" s="7">
        <v>0</v>
      </c>
      <c r="E137" s="5">
        <v>0</v>
      </c>
      <c r="F137" s="7">
        <v>1920</v>
      </c>
      <c r="G137" s="11" t="str">
        <f t="shared" si="5"/>
        <v>Low</v>
      </c>
    </row>
    <row r="138" spans="1:7" x14ac:dyDescent="0.3">
      <c r="A138">
        <v>2891001357</v>
      </c>
      <c r="B138" s="1">
        <v>42459</v>
      </c>
      <c r="C138" s="1" t="str">
        <f t="shared" si="4"/>
        <v>Wednesday</v>
      </c>
      <c r="D138" s="7">
        <v>0</v>
      </c>
      <c r="E138" s="5">
        <v>0</v>
      </c>
      <c r="F138" s="7">
        <v>1920</v>
      </c>
      <c r="G138" s="11" t="str">
        <f t="shared" si="5"/>
        <v>Low</v>
      </c>
    </row>
    <row r="139" spans="1:7" x14ac:dyDescent="0.3">
      <c r="A139">
        <v>2891001357</v>
      </c>
      <c r="B139" s="1">
        <v>42460</v>
      </c>
      <c r="C139" s="1" t="str">
        <f t="shared" si="4"/>
        <v>Thursday</v>
      </c>
      <c r="D139" s="7">
        <v>0</v>
      </c>
      <c r="E139" s="5">
        <v>0</v>
      </c>
      <c r="F139" s="7">
        <v>1920</v>
      </c>
      <c r="G139" s="11" t="str">
        <f t="shared" si="5"/>
        <v>Low</v>
      </c>
    </row>
    <row r="140" spans="1:7" x14ac:dyDescent="0.3">
      <c r="A140">
        <v>2891001357</v>
      </c>
      <c r="B140" s="1">
        <v>42461</v>
      </c>
      <c r="C140" s="1" t="str">
        <f t="shared" si="4"/>
        <v>Friday</v>
      </c>
      <c r="D140" s="7">
        <v>0</v>
      </c>
      <c r="E140" s="5">
        <v>0</v>
      </c>
      <c r="F140" s="7">
        <v>4562</v>
      </c>
      <c r="G140" s="11" t="str">
        <f t="shared" si="5"/>
        <v>Low</v>
      </c>
    </row>
    <row r="141" spans="1:7" x14ac:dyDescent="0.3">
      <c r="A141">
        <v>2891001357</v>
      </c>
      <c r="B141" s="1">
        <v>42462</v>
      </c>
      <c r="C141" s="1" t="str">
        <f t="shared" si="4"/>
        <v>Saturday</v>
      </c>
      <c r="D141" s="7">
        <v>4126</v>
      </c>
      <c r="E141" s="5">
        <v>3.2200000286102299</v>
      </c>
      <c r="F141" s="7">
        <v>2881</v>
      </c>
      <c r="G141" s="11" t="str">
        <f t="shared" si="5"/>
        <v>Low</v>
      </c>
    </row>
    <row r="142" spans="1:7" x14ac:dyDescent="0.3">
      <c r="A142">
        <v>2891001357</v>
      </c>
      <c r="B142" s="1">
        <v>42463</v>
      </c>
      <c r="C142" s="1" t="str">
        <f t="shared" si="4"/>
        <v>Sunday</v>
      </c>
      <c r="D142" s="7">
        <v>0</v>
      </c>
      <c r="E142" s="5">
        <v>0</v>
      </c>
      <c r="F142" s="7">
        <v>1920</v>
      </c>
      <c r="G142" s="11" t="str">
        <f t="shared" si="5"/>
        <v>Low</v>
      </c>
    </row>
    <row r="143" spans="1:7" x14ac:dyDescent="0.3">
      <c r="A143">
        <v>2891001357</v>
      </c>
      <c r="B143" s="1">
        <v>42464</v>
      </c>
      <c r="C143" s="1" t="str">
        <f t="shared" si="4"/>
        <v>Monday</v>
      </c>
      <c r="D143" s="7">
        <v>0</v>
      </c>
      <c r="E143" s="5">
        <v>0</v>
      </c>
      <c r="F143" s="7">
        <v>1920</v>
      </c>
      <c r="G143" s="11" t="str">
        <f t="shared" si="5"/>
        <v>Low</v>
      </c>
    </row>
    <row r="144" spans="1:7" x14ac:dyDescent="0.3">
      <c r="A144">
        <v>2891001357</v>
      </c>
      <c r="B144" s="1">
        <v>42465</v>
      </c>
      <c r="C144" s="1" t="str">
        <f t="shared" si="4"/>
        <v>Tuesday</v>
      </c>
      <c r="D144" s="7">
        <v>2063</v>
      </c>
      <c r="E144" s="5">
        <v>1.6100000143051101</v>
      </c>
      <c r="F144" s="7">
        <v>1144</v>
      </c>
      <c r="G144" s="11" t="str">
        <f t="shared" si="5"/>
        <v>Low</v>
      </c>
    </row>
    <row r="145" spans="1:7" x14ac:dyDescent="0.3">
      <c r="A145">
        <v>3372868164</v>
      </c>
      <c r="B145" s="1">
        <v>42461</v>
      </c>
      <c r="C145" s="1" t="str">
        <f t="shared" si="4"/>
        <v>Friday</v>
      </c>
      <c r="D145" s="7">
        <v>5785</v>
      </c>
      <c r="E145" s="5">
        <v>3.9500000476837198</v>
      </c>
      <c r="F145" s="7">
        <v>1852</v>
      </c>
      <c r="G145" s="11" t="str">
        <f t="shared" si="5"/>
        <v>Moderate</v>
      </c>
    </row>
    <row r="146" spans="1:7" x14ac:dyDescent="0.3">
      <c r="A146">
        <v>3372868164</v>
      </c>
      <c r="B146" s="1">
        <v>42462</v>
      </c>
      <c r="C146" s="1" t="str">
        <f t="shared" si="4"/>
        <v>Saturday</v>
      </c>
      <c r="D146" s="7">
        <v>7625</v>
      </c>
      <c r="E146" s="5">
        <v>5.2300000190734899</v>
      </c>
      <c r="F146" s="7">
        <v>2069</v>
      </c>
      <c r="G146" s="11" t="str">
        <f t="shared" si="5"/>
        <v>Moderate</v>
      </c>
    </row>
    <row r="147" spans="1:7" x14ac:dyDescent="0.3">
      <c r="A147">
        <v>3372868164</v>
      </c>
      <c r="B147" s="1">
        <v>42463</v>
      </c>
      <c r="C147" s="1" t="str">
        <f t="shared" si="4"/>
        <v>Sunday</v>
      </c>
      <c r="D147" s="7">
        <v>4706</v>
      </c>
      <c r="E147" s="5">
        <v>3.21000003814697</v>
      </c>
      <c r="F147" s="7">
        <v>1816</v>
      </c>
      <c r="G147" s="11" t="str">
        <f t="shared" si="5"/>
        <v>Low</v>
      </c>
    </row>
    <row r="148" spans="1:7" x14ac:dyDescent="0.3">
      <c r="A148">
        <v>3372868164</v>
      </c>
      <c r="B148" s="1">
        <v>42464</v>
      </c>
      <c r="C148" s="1" t="str">
        <f t="shared" si="4"/>
        <v>Monday</v>
      </c>
      <c r="D148" s="7">
        <v>5861</v>
      </c>
      <c r="E148" s="5">
        <v>4.0199999809265101</v>
      </c>
      <c r="F148" s="7">
        <v>1878</v>
      </c>
      <c r="G148" s="11" t="str">
        <f t="shared" si="5"/>
        <v>Moderate</v>
      </c>
    </row>
    <row r="149" spans="1:7" x14ac:dyDescent="0.3">
      <c r="A149">
        <v>3372868164</v>
      </c>
      <c r="B149" s="1">
        <v>42465</v>
      </c>
      <c r="C149" s="1" t="str">
        <f t="shared" si="4"/>
        <v>Tuesday</v>
      </c>
      <c r="D149" s="7">
        <v>4460</v>
      </c>
      <c r="E149" s="5">
        <v>3.03999996185303</v>
      </c>
      <c r="F149" s="7">
        <v>1787</v>
      </c>
      <c r="G149" s="11" t="str">
        <f t="shared" si="5"/>
        <v>Low</v>
      </c>
    </row>
    <row r="150" spans="1:7" x14ac:dyDescent="0.3">
      <c r="A150">
        <v>3372868164</v>
      </c>
      <c r="B150" s="1">
        <v>42466</v>
      </c>
      <c r="C150" s="1" t="str">
        <f t="shared" si="4"/>
        <v>Wednesday</v>
      </c>
      <c r="D150" s="7">
        <v>6406</v>
      </c>
      <c r="E150" s="5">
        <v>4.3899998664856001</v>
      </c>
      <c r="F150" s="7">
        <v>2010</v>
      </c>
      <c r="G150" s="11" t="str">
        <f t="shared" si="5"/>
        <v>Moderate</v>
      </c>
    </row>
    <row r="151" spans="1:7" x14ac:dyDescent="0.3">
      <c r="A151">
        <v>3372868164</v>
      </c>
      <c r="B151" s="1">
        <v>42467</v>
      </c>
      <c r="C151" s="1" t="str">
        <f t="shared" si="4"/>
        <v>Thursday</v>
      </c>
      <c r="D151" s="7">
        <v>7392</v>
      </c>
      <c r="E151" s="5">
        <v>5.0999999046325701</v>
      </c>
      <c r="F151" s="7">
        <v>2038</v>
      </c>
      <c r="G151" s="11" t="str">
        <f t="shared" si="5"/>
        <v>Moderate</v>
      </c>
    </row>
    <row r="152" spans="1:7" x14ac:dyDescent="0.3">
      <c r="A152">
        <v>3372868164</v>
      </c>
      <c r="B152" s="1">
        <v>42468</v>
      </c>
      <c r="C152" s="1" t="str">
        <f t="shared" si="4"/>
        <v>Friday</v>
      </c>
      <c r="D152" s="7">
        <v>5551</v>
      </c>
      <c r="E152" s="5">
        <v>3.78999996185303</v>
      </c>
      <c r="F152" s="7">
        <v>1815</v>
      </c>
      <c r="G152" s="11" t="str">
        <f t="shared" si="5"/>
        <v>Moderate</v>
      </c>
    </row>
    <row r="153" spans="1:7" x14ac:dyDescent="0.3">
      <c r="A153">
        <v>3372868164</v>
      </c>
      <c r="B153" s="1">
        <v>42469</v>
      </c>
      <c r="C153" s="1" t="str">
        <f t="shared" si="4"/>
        <v>Saturday</v>
      </c>
      <c r="D153" s="7">
        <v>8827</v>
      </c>
      <c r="E153" s="5">
        <v>6.25</v>
      </c>
      <c r="F153" s="7">
        <v>2062</v>
      </c>
      <c r="G153" s="11" t="str">
        <f t="shared" si="5"/>
        <v>Moderate</v>
      </c>
    </row>
    <row r="154" spans="1:7" x14ac:dyDescent="0.3">
      <c r="A154">
        <v>3372868164</v>
      </c>
      <c r="B154" s="1">
        <v>42470</v>
      </c>
      <c r="C154" s="1" t="str">
        <f t="shared" si="4"/>
        <v>Sunday</v>
      </c>
      <c r="D154" s="7">
        <v>4662</v>
      </c>
      <c r="E154" s="5">
        <v>3.1800000667571999</v>
      </c>
      <c r="F154" s="7">
        <v>1276</v>
      </c>
      <c r="G154" s="11" t="str">
        <f t="shared" si="5"/>
        <v>Low</v>
      </c>
    </row>
    <row r="155" spans="1:7" x14ac:dyDescent="0.3">
      <c r="A155">
        <v>3977333714</v>
      </c>
      <c r="B155" s="1">
        <v>42461</v>
      </c>
      <c r="C155" s="1" t="str">
        <f t="shared" si="4"/>
        <v>Friday</v>
      </c>
      <c r="D155" s="7">
        <v>4499</v>
      </c>
      <c r="E155" s="5">
        <v>3.0099999904632599</v>
      </c>
      <c r="F155" s="7">
        <v>1288</v>
      </c>
      <c r="G155" s="11" t="str">
        <f t="shared" si="5"/>
        <v>Low</v>
      </c>
    </row>
    <row r="156" spans="1:7" x14ac:dyDescent="0.3">
      <c r="A156">
        <v>3977333714</v>
      </c>
      <c r="B156" s="1">
        <v>42462</v>
      </c>
      <c r="C156" s="1" t="str">
        <f t="shared" si="4"/>
        <v>Saturday</v>
      </c>
      <c r="D156" s="7">
        <v>7618</v>
      </c>
      <c r="E156" s="5">
        <v>5.0999999046325701</v>
      </c>
      <c r="F156" s="7">
        <v>1490</v>
      </c>
      <c r="G156" s="11" t="str">
        <f t="shared" si="5"/>
        <v>Moderate</v>
      </c>
    </row>
    <row r="157" spans="1:7" x14ac:dyDescent="0.3">
      <c r="A157">
        <v>3977333714</v>
      </c>
      <c r="B157" s="1">
        <v>42463</v>
      </c>
      <c r="C157" s="1" t="str">
        <f t="shared" si="4"/>
        <v>Sunday</v>
      </c>
      <c r="D157" s="7">
        <v>11508</v>
      </c>
      <c r="E157" s="5">
        <v>7.6999998092651403</v>
      </c>
      <c r="F157" s="7">
        <v>1630</v>
      </c>
      <c r="G157" s="11" t="str">
        <f t="shared" si="5"/>
        <v>High</v>
      </c>
    </row>
    <row r="158" spans="1:7" x14ac:dyDescent="0.3">
      <c r="A158">
        <v>3977333714</v>
      </c>
      <c r="B158" s="1">
        <v>42464</v>
      </c>
      <c r="C158" s="1" t="str">
        <f t="shared" si="4"/>
        <v>Monday</v>
      </c>
      <c r="D158" s="7">
        <v>11943</v>
      </c>
      <c r="E158" s="5">
        <v>7.9899997711181596</v>
      </c>
      <c r="F158" s="7">
        <v>1648</v>
      </c>
      <c r="G158" s="11" t="str">
        <f t="shared" si="5"/>
        <v>High</v>
      </c>
    </row>
    <row r="159" spans="1:7" x14ac:dyDescent="0.3">
      <c r="A159">
        <v>3977333714</v>
      </c>
      <c r="B159" s="1">
        <v>42465</v>
      </c>
      <c r="C159" s="1" t="str">
        <f t="shared" si="4"/>
        <v>Tuesday</v>
      </c>
      <c r="D159" s="7">
        <v>12303</v>
      </c>
      <c r="E159" s="5">
        <v>8.2299995422363299</v>
      </c>
      <c r="F159" s="7">
        <v>1649</v>
      </c>
      <c r="G159" s="11" t="str">
        <f t="shared" si="5"/>
        <v>High</v>
      </c>
    </row>
    <row r="160" spans="1:7" x14ac:dyDescent="0.3">
      <c r="A160">
        <v>3977333714</v>
      </c>
      <c r="B160" s="1">
        <v>42466</v>
      </c>
      <c r="C160" s="1" t="str">
        <f t="shared" si="4"/>
        <v>Wednesday</v>
      </c>
      <c r="D160" s="7">
        <v>15425</v>
      </c>
      <c r="E160" s="5">
        <v>10.319999694824199</v>
      </c>
      <c r="F160" s="7">
        <v>1783</v>
      </c>
      <c r="G160" s="11" t="str">
        <f t="shared" si="5"/>
        <v>High</v>
      </c>
    </row>
    <row r="161" spans="1:7" x14ac:dyDescent="0.3">
      <c r="A161">
        <v>3977333714</v>
      </c>
      <c r="B161" s="1">
        <v>42467</v>
      </c>
      <c r="C161" s="1" t="str">
        <f t="shared" si="4"/>
        <v>Thursday</v>
      </c>
      <c r="D161" s="7">
        <v>8422</v>
      </c>
      <c r="E161" s="5">
        <v>5.6300001144409197</v>
      </c>
      <c r="F161" s="7">
        <v>1431</v>
      </c>
      <c r="G161" s="11" t="str">
        <f t="shared" si="5"/>
        <v>Moderate</v>
      </c>
    </row>
    <row r="162" spans="1:7" x14ac:dyDescent="0.3">
      <c r="A162">
        <v>3977333714</v>
      </c>
      <c r="B162" s="1">
        <v>42468</v>
      </c>
      <c r="C162" s="1" t="str">
        <f t="shared" si="4"/>
        <v>Friday</v>
      </c>
      <c r="D162" s="7">
        <v>10226</v>
      </c>
      <c r="E162" s="5">
        <v>6.8400001525878897</v>
      </c>
      <c r="F162" s="7">
        <v>1524</v>
      </c>
      <c r="G162" s="11" t="str">
        <f t="shared" si="5"/>
        <v>High</v>
      </c>
    </row>
    <row r="163" spans="1:7" x14ac:dyDescent="0.3">
      <c r="A163">
        <v>3977333714</v>
      </c>
      <c r="B163" s="1">
        <v>42469</v>
      </c>
      <c r="C163" s="1" t="str">
        <f t="shared" si="4"/>
        <v>Saturday</v>
      </c>
      <c r="D163" s="7">
        <v>14583</v>
      </c>
      <c r="E163" s="5">
        <v>9.7600002288818395</v>
      </c>
      <c r="F163" s="7">
        <v>1697</v>
      </c>
      <c r="G163" s="11" t="str">
        <f t="shared" si="5"/>
        <v>High</v>
      </c>
    </row>
    <row r="164" spans="1:7" x14ac:dyDescent="0.3">
      <c r="A164">
        <v>3977333714</v>
      </c>
      <c r="B164" s="1">
        <v>42470</v>
      </c>
      <c r="C164" s="1" t="str">
        <f t="shared" si="4"/>
        <v>Sunday</v>
      </c>
      <c r="D164" s="7">
        <v>3573</v>
      </c>
      <c r="E164" s="5">
        <v>2.3900001049041699</v>
      </c>
      <c r="F164" s="7">
        <v>1232</v>
      </c>
      <c r="G164" s="11" t="str">
        <f t="shared" si="5"/>
        <v>Low</v>
      </c>
    </row>
    <row r="165" spans="1:7" x14ac:dyDescent="0.3">
      <c r="A165">
        <v>3977333714</v>
      </c>
      <c r="B165" s="1">
        <v>42471</v>
      </c>
      <c r="C165" s="1" t="str">
        <f t="shared" si="4"/>
        <v>Monday</v>
      </c>
      <c r="D165" s="7">
        <v>3108</v>
      </c>
      <c r="E165" s="5">
        <v>2.1400001049041699</v>
      </c>
      <c r="F165" s="7">
        <v>1223</v>
      </c>
      <c r="G165" s="11" t="str">
        <f t="shared" si="5"/>
        <v>Low</v>
      </c>
    </row>
    <row r="166" spans="1:7" x14ac:dyDescent="0.3">
      <c r="A166">
        <v>3977333714</v>
      </c>
      <c r="B166" s="1">
        <v>42472</v>
      </c>
      <c r="C166" s="1" t="str">
        <f t="shared" si="4"/>
        <v>Tuesday</v>
      </c>
      <c r="D166" s="7">
        <v>759</v>
      </c>
      <c r="E166" s="5">
        <v>0.56999999284744296</v>
      </c>
      <c r="F166" s="7">
        <v>182</v>
      </c>
      <c r="G166" s="11" t="str">
        <f t="shared" si="5"/>
        <v>Low</v>
      </c>
    </row>
    <row r="167" spans="1:7" x14ac:dyDescent="0.3">
      <c r="A167">
        <v>4020332650</v>
      </c>
      <c r="B167" s="1">
        <v>42441</v>
      </c>
      <c r="C167" s="1" t="str">
        <f t="shared" si="4"/>
        <v>Saturday</v>
      </c>
      <c r="D167" s="7">
        <v>5543</v>
      </c>
      <c r="E167" s="5">
        <v>3.9700000286102299</v>
      </c>
      <c r="F167" s="7">
        <v>2990</v>
      </c>
      <c r="G167" s="11" t="str">
        <f t="shared" si="5"/>
        <v>Moderate</v>
      </c>
    </row>
    <row r="168" spans="1:7" x14ac:dyDescent="0.3">
      <c r="A168">
        <v>4020332650</v>
      </c>
      <c r="B168" s="1">
        <v>42442</v>
      </c>
      <c r="C168" s="1" t="str">
        <f t="shared" si="4"/>
        <v>Sunday</v>
      </c>
      <c r="D168" s="7">
        <v>3226</v>
      </c>
      <c r="E168" s="5">
        <v>2.3099999427795401</v>
      </c>
      <c r="F168" s="7">
        <v>2480</v>
      </c>
      <c r="G168" s="11" t="str">
        <f t="shared" si="5"/>
        <v>Low</v>
      </c>
    </row>
    <row r="169" spans="1:7" x14ac:dyDescent="0.3">
      <c r="A169">
        <v>4020332650</v>
      </c>
      <c r="B169" s="1">
        <v>42443</v>
      </c>
      <c r="C169" s="1" t="str">
        <f t="shared" si="4"/>
        <v>Monday</v>
      </c>
      <c r="D169" s="7">
        <v>3023</v>
      </c>
      <c r="E169" s="5">
        <v>2.1700000762939502</v>
      </c>
      <c r="F169" s="7">
        <v>2570</v>
      </c>
      <c r="G169" s="11" t="str">
        <f t="shared" si="5"/>
        <v>Low</v>
      </c>
    </row>
    <row r="170" spans="1:7" x14ac:dyDescent="0.3">
      <c r="A170">
        <v>4020332650</v>
      </c>
      <c r="B170" s="1">
        <v>42444</v>
      </c>
      <c r="C170" s="1" t="str">
        <f t="shared" si="4"/>
        <v>Tuesday</v>
      </c>
      <c r="D170" s="7">
        <v>5906</v>
      </c>
      <c r="E170" s="5">
        <v>4.2300000190734899</v>
      </c>
      <c r="F170" s="7">
        <v>3016</v>
      </c>
      <c r="G170" s="11" t="str">
        <f t="shared" si="5"/>
        <v>Moderate</v>
      </c>
    </row>
    <row r="171" spans="1:7" x14ac:dyDescent="0.3">
      <c r="A171">
        <v>4020332650</v>
      </c>
      <c r="B171" s="1">
        <v>42445</v>
      </c>
      <c r="C171" s="1" t="str">
        <f t="shared" si="4"/>
        <v>Wednesday</v>
      </c>
      <c r="D171" s="7">
        <v>12483</v>
      </c>
      <c r="E171" s="5">
        <v>8.9899997711181605</v>
      </c>
      <c r="F171" s="7">
        <v>3830</v>
      </c>
      <c r="G171" s="11" t="str">
        <f t="shared" si="5"/>
        <v>High</v>
      </c>
    </row>
    <row r="172" spans="1:7" x14ac:dyDescent="0.3">
      <c r="A172">
        <v>4020332650</v>
      </c>
      <c r="B172" s="1">
        <v>42446</v>
      </c>
      <c r="C172" s="1" t="str">
        <f t="shared" si="4"/>
        <v>Thursday</v>
      </c>
      <c r="D172" s="7">
        <v>8940</v>
      </c>
      <c r="E172" s="5">
        <v>6.4099998474121103</v>
      </c>
      <c r="F172" s="7">
        <v>3706</v>
      </c>
      <c r="G172" s="11" t="str">
        <f t="shared" si="5"/>
        <v>Moderate</v>
      </c>
    </row>
    <row r="173" spans="1:7" x14ac:dyDescent="0.3">
      <c r="A173">
        <v>4020332650</v>
      </c>
      <c r="B173" s="1">
        <v>42447</v>
      </c>
      <c r="C173" s="1" t="str">
        <f t="shared" si="4"/>
        <v>Friday</v>
      </c>
      <c r="D173" s="7">
        <v>368</v>
      </c>
      <c r="E173" s="5">
        <v>0.259999990463257</v>
      </c>
      <c r="F173" s="7">
        <v>2024</v>
      </c>
      <c r="G173" s="11" t="str">
        <f t="shared" si="5"/>
        <v>Low</v>
      </c>
    </row>
    <row r="174" spans="1:7" x14ac:dyDescent="0.3">
      <c r="A174">
        <v>4020332650</v>
      </c>
      <c r="B174" s="1">
        <v>42448</v>
      </c>
      <c r="C174" s="1" t="str">
        <f t="shared" si="4"/>
        <v>Saturday</v>
      </c>
      <c r="D174" s="7">
        <v>5702</v>
      </c>
      <c r="E174" s="5">
        <v>4.0900001525878897</v>
      </c>
      <c r="F174" s="7">
        <v>2980</v>
      </c>
      <c r="G174" s="11" t="str">
        <f t="shared" si="5"/>
        <v>Moderate</v>
      </c>
    </row>
    <row r="175" spans="1:7" x14ac:dyDescent="0.3">
      <c r="A175">
        <v>4020332650</v>
      </c>
      <c r="B175" s="1">
        <v>42449</v>
      </c>
      <c r="C175" s="1" t="str">
        <f t="shared" si="4"/>
        <v>Sunday</v>
      </c>
      <c r="D175" s="7">
        <v>10330</v>
      </c>
      <c r="E175" s="5">
        <v>7.4099998474121103</v>
      </c>
      <c r="F175" s="7">
        <v>3728</v>
      </c>
      <c r="G175" s="11" t="str">
        <f t="shared" si="5"/>
        <v>High</v>
      </c>
    </row>
    <row r="176" spans="1:7" x14ac:dyDescent="0.3">
      <c r="A176">
        <v>4020332650</v>
      </c>
      <c r="B176" s="1">
        <v>42450</v>
      </c>
      <c r="C176" s="1" t="str">
        <f t="shared" si="4"/>
        <v>Monday</v>
      </c>
      <c r="D176" s="7">
        <v>8778</v>
      </c>
      <c r="E176" s="5">
        <v>6.28999996185303</v>
      </c>
      <c r="F176" s="7">
        <v>3348</v>
      </c>
      <c r="G176" s="11" t="str">
        <f t="shared" si="5"/>
        <v>Moderate</v>
      </c>
    </row>
    <row r="177" spans="1:7" x14ac:dyDescent="0.3">
      <c r="A177">
        <v>4020332650</v>
      </c>
      <c r="B177" s="1">
        <v>42451</v>
      </c>
      <c r="C177" s="1" t="str">
        <f t="shared" si="4"/>
        <v>Tuesday</v>
      </c>
      <c r="D177" s="7">
        <v>6662</v>
      </c>
      <c r="E177" s="5">
        <v>4.7800002098083496</v>
      </c>
      <c r="F177" s="7">
        <v>3162</v>
      </c>
      <c r="G177" s="11" t="str">
        <f t="shared" si="5"/>
        <v>Moderate</v>
      </c>
    </row>
    <row r="178" spans="1:7" x14ac:dyDescent="0.3">
      <c r="A178">
        <v>4020332650</v>
      </c>
      <c r="B178" s="1">
        <v>42452</v>
      </c>
      <c r="C178" s="1" t="str">
        <f t="shared" si="4"/>
        <v>Wednesday</v>
      </c>
      <c r="D178" s="7">
        <v>6309</v>
      </c>
      <c r="E178" s="5">
        <v>4.5199999809265101</v>
      </c>
      <c r="F178" s="7">
        <v>3140</v>
      </c>
      <c r="G178" s="11" t="str">
        <f t="shared" si="5"/>
        <v>Moderate</v>
      </c>
    </row>
    <row r="179" spans="1:7" x14ac:dyDescent="0.3">
      <c r="A179">
        <v>4020332650</v>
      </c>
      <c r="B179" s="1">
        <v>42453</v>
      </c>
      <c r="C179" s="1" t="str">
        <f t="shared" si="4"/>
        <v>Thursday</v>
      </c>
      <c r="D179" s="7">
        <v>1951</v>
      </c>
      <c r="E179" s="5">
        <v>1.4099999666214</v>
      </c>
      <c r="F179" s="7">
        <v>1980</v>
      </c>
      <c r="G179" s="11" t="str">
        <f t="shared" si="5"/>
        <v>Low</v>
      </c>
    </row>
    <row r="180" spans="1:7" x14ac:dyDescent="0.3">
      <c r="A180">
        <v>4020332650</v>
      </c>
      <c r="B180" s="1">
        <v>42454</v>
      </c>
      <c r="C180" s="1" t="str">
        <f t="shared" si="4"/>
        <v>Friday</v>
      </c>
      <c r="D180" s="7">
        <v>5563</v>
      </c>
      <c r="E180" s="5">
        <v>3.9900000095367401</v>
      </c>
      <c r="F180" s="7">
        <v>3681</v>
      </c>
      <c r="G180" s="11" t="str">
        <f t="shared" si="5"/>
        <v>Moderate</v>
      </c>
    </row>
    <row r="181" spans="1:7" x14ac:dyDescent="0.3">
      <c r="A181">
        <v>4020332650</v>
      </c>
      <c r="B181" s="1">
        <v>42455</v>
      </c>
      <c r="C181" s="1" t="str">
        <f t="shared" si="4"/>
        <v>Saturday</v>
      </c>
      <c r="D181" s="7">
        <v>4370</v>
      </c>
      <c r="E181" s="5">
        <v>3.1300001144409202</v>
      </c>
      <c r="F181" s="7">
        <v>3444</v>
      </c>
      <c r="G181" s="11" t="str">
        <f t="shared" si="5"/>
        <v>Low</v>
      </c>
    </row>
    <row r="182" spans="1:7" x14ac:dyDescent="0.3">
      <c r="A182">
        <v>4020332650</v>
      </c>
      <c r="B182" s="1">
        <v>42456</v>
      </c>
      <c r="C182" s="1" t="str">
        <f t="shared" si="4"/>
        <v>Sunday</v>
      </c>
      <c r="D182" s="7">
        <v>7144</v>
      </c>
      <c r="E182" s="5">
        <v>5.1199998855590803</v>
      </c>
      <c r="F182" s="7">
        <v>3510</v>
      </c>
      <c r="G182" s="11" t="str">
        <f t="shared" si="5"/>
        <v>Moderate</v>
      </c>
    </row>
    <row r="183" spans="1:7" x14ac:dyDescent="0.3">
      <c r="A183">
        <v>4020332650</v>
      </c>
      <c r="B183" s="1">
        <v>42457</v>
      </c>
      <c r="C183" s="1" t="str">
        <f t="shared" si="4"/>
        <v>Monday</v>
      </c>
      <c r="D183" s="7">
        <v>2106</v>
      </c>
      <c r="E183" s="5">
        <v>1.5099999904632599</v>
      </c>
      <c r="F183" s="7">
        <v>4010</v>
      </c>
      <c r="G183" s="11" t="str">
        <f t="shared" si="5"/>
        <v>Low</v>
      </c>
    </row>
    <row r="184" spans="1:7" x14ac:dyDescent="0.3">
      <c r="A184">
        <v>4020332650</v>
      </c>
      <c r="B184" s="1">
        <v>42458</v>
      </c>
      <c r="C184" s="1" t="str">
        <f t="shared" si="4"/>
        <v>Tuesday</v>
      </c>
      <c r="D184" s="7">
        <v>4152</v>
      </c>
      <c r="E184" s="5">
        <v>2.9800000190734899</v>
      </c>
      <c r="F184" s="7">
        <v>2976</v>
      </c>
      <c r="G184" s="11" t="str">
        <f t="shared" si="5"/>
        <v>Low</v>
      </c>
    </row>
    <row r="185" spans="1:7" x14ac:dyDescent="0.3">
      <c r="A185">
        <v>4020332650</v>
      </c>
      <c r="B185" s="1">
        <v>42459</v>
      </c>
      <c r="C185" s="1" t="str">
        <f t="shared" si="4"/>
        <v>Wednesday</v>
      </c>
      <c r="D185" s="7">
        <v>5400</v>
      </c>
      <c r="E185" s="5">
        <v>3.8699998855590798</v>
      </c>
      <c r="F185" s="7">
        <v>3418</v>
      </c>
      <c r="G185" s="11" t="str">
        <f t="shared" si="5"/>
        <v>Moderate</v>
      </c>
    </row>
    <row r="186" spans="1:7" x14ac:dyDescent="0.3">
      <c r="A186">
        <v>4020332650</v>
      </c>
      <c r="B186" s="1">
        <v>42460</v>
      </c>
      <c r="C186" s="1" t="str">
        <f t="shared" si="4"/>
        <v>Thursday</v>
      </c>
      <c r="D186" s="7">
        <v>7428</v>
      </c>
      <c r="E186" s="5">
        <v>5.3299999237060502</v>
      </c>
      <c r="F186" s="7">
        <v>3439</v>
      </c>
      <c r="G186" s="11" t="str">
        <f t="shared" si="5"/>
        <v>Moderate</v>
      </c>
    </row>
    <row r="187" spans="1:7" x14ac:dyDescent="0.3">
      <c r="A187">
        <v>4020332650</v>
      </c>
      <c r="B187" s="1">
        <v>42461</v>
      </c>
      <c r="C187" s="1" t="str">
        <f t="shared" si="4"/>
        <v>Friday</v>
      </c>
      <c r="D187" s="7">
        <v>5351</v>
      </c>
      <c r="E187" s="5">
        <v>3.8399999141693102</v>
      </c>
      <c r="F187" s="7">
        <v>3338</v>
      </c>
      <c r="G187" s="11" t="str">
        <f t="shared" si="5"/>
        <v>Moderate</v>
      </c>
    </row>
    <row r="188" spans="1:7" x14ac:dyDescent="0.3">
      <c r="A188">
        <v>4020332650</v>
      </c>
      <c r="B188" s="1">
        <v>42462</v>
      </c>
      <c r="C188" s="1" t="str">
        <f t="shared" si="4"/>
        <v>Saturday</v>
      </c>
      <c r="D188" s="7">
        <v>4299</v>
      </c>
      <c r="E188" s="5">
        <v>3.0999999046325701</v>
      </c>
      <c r="F188" s="7">
        <v>2892</v>
      </c>
      <c r="G188" s="11" t="str">
        <f t="shared" si="5"/>
        <v>Low</v>
      </c>
    </row>
    <row r="189" spans="1:7" x14ac:dyDescent="0.3">
      <c r="A189">
        <v>4020332650</v>
      </c>
      <c r="B189" s="1">
        <v>42463</v>
      </c>
      <c r="C189" s="1" t="str">
        <f t="shared" si="4"/>
        <v>Sunday</v>
      </c>
      <c r="D189" s="7">
        <v>6107</v>
      </c>
      <c r="E189" s="5">
        <v>4.3800001144409197</v>
      </c>
      <c r="F189" s="7">
        <v>3313</v>
      </c>
      <c r="G189" s="11" t="str">
        <f t="shared" si="5"/>
        <v>Moderate</v>
      </c>
    </row>
    <row r="190" spans="1:7" x14ac:dyDescent="0.3">
      <c r="A190">
        <v>4020332650</v>
      </c>
      <c r="B190" s="1">
        <v>42464</v>
      </c>
      <c r="C190" s="1" t="str">
        <f t="shared" si="4"/>
        <v>Monday</v>
      </c>
      <c r="D190" s="7">
        <v>6429</v>
      </c>
      <c r="E190" s="5">
        <v>4.5999999046325701</v>
      </c>
      <c r="F190" s="7">
        <v>3118</v>
      </c>
      <c r="G190" s="11" t="str">
        <f t="shared" si="5"/>
        <v>Moderate</v>
      </c>
    </row>
    <row r="191" spans="1:7" x14ac:dyDescent="0.3">
      <c r="A191">
        <v>4020332650</v>
      </c>
      <c r="B191" s="1">
        <v>42465</v>
      </c>
      <c r="C191" s="1" t="str">
        <f t="shared" si="4"/>
        <v>Tuesday</v>
      </c>
      <c r="D191" s="7">
        <v>6880</v>
      </c>
      <c r="E191" s="5">
        <v>4.9299998283386204</v>
      </c>
      <c r="F191" s="7">
        <v>2966</v>
      </c>
      <c r="G191" s="11" t="str">
        <f t="shared" si="5"/>
        <v>Moderate</v>
      </c>
    </row>
    <row r="192" spans="1:7" x14ac:dyDescent="0.3">
      <c r="A192">
        <v>4020332650</v>
      </c>
      <c r="B192" s="1">
        <v>42466</v>
      </c>
      <c r="C192" s="1" t="str">
        <f t="shared" si="4"/>
        <v>Wednesday</v>
      </c>
      <c r="D192" s="7">
        <v>7476</v>
      </c>
      <c r="E192" s="5">
        <v>5.3600001335143999</v>
      </c>
      <c r="F192" s="7">
        <v>3253</v>
      </c>
      <c r="G192" s="11" t="str">
        <f t="shared" si="5"/>
        <v>Moderate</v>
      </c>
    </row>
    <row r="193" spans="1:7" x14ac:dyDescent="0.3">
      <c r="A193">
        <v>4020332650</v>
      </c>
      <c r="B193" s="1">
        <v>42467</v>
      </c>
      <c r="C193" s="1" t="str">
        <f t="shared" si="4"/>
        <v>Thursday</v>
      </c>
      <c r="D193" s="7">
        <v>6581</v>
      </c>
      <c r="E193" s="5">
        <v>4.7199997901916504</v>
      </c>
      <c r="F193" s="7">
        <v>3032</v>
      </c>
      <c r="G193" s="11" t="str">
        <f t="shared" si="5"/>
        <v>Moderate</v>
      </c>
    </row>
    <row r="194" spans="1:7" x14ac:dyDescent="0.3">
      <c r="A194">
        <v>4020332650</v>
      </c>
      <c r="B194" s="1">
        <v>42468</v>
      </c>
      <c r="C194" s="1" t="str">
        <f t="shared" si="4"/>
        <v>Friday</v>
      </c>
      <c r="D194" s="7">
        <v>10480</v>
      </c>
      <c r="E194" s="5">
        <v>7.5100002288818404</v>
      </c>
      <c r="F194" s="7">
        <v>4034</v>
      </c>
      <c r="G194" s="11" t="str">
        <f t="shared" si="5"/>
        <v>High</v>
      </c>
    </row>
    <row r="195" spans="1:7" x14ac:dyDescent="0.3">
      <c r="A195">
        <v>4020332650</v>
      </c>
      <c r="B195" s="1">
        <v>42469</v>
      </c>
      <c r="C195" s="1" t="str">
        <f t="shared" ref="C195:C258" si="6">TEXT(B195,"dddd")</f>
        <v>Saturday</v>
      </c>
      <c r="D195" s="7">
        <v>7734</v>
      </c>
      <c r="E195" s="5">
        <v>5.5500001907348597</v>
      </c>
      <c r="F195" s="7">
        <v>3264</v>
      </c>
      <c r="G195" s="11" t="str">
        <f t="shared" ref="G195:G258" si="7">IF(D195&lt;5000,"Low",IF(D195&lt;=10000,"Moderate","High"))</f>
        <v>Moderate</v>
      </c>
    </row>
    <row r="196" spans="1:7" x14ac:dyDescent="0.3">
      <c r="A196">
        <v>4020332650</v>
      </c>
      <c r="B196" s="1">
        <v>42470</v>
      </c>
      <c r="C196" s="1" t="str">
        <f t="shared" si="6"/>
        <v>Sunday</v>
      </c>
      <c r="D196" s="7">
        <v>5129</v>
      </c>
      <c r="E196" s="5">
        <v>3.6800000667571999</v>
      </c>
      <c r="F196" s="7">
        <v>2817</v>
      </c>
      <c r="G196" s="11" t="str">
        <f t="shared" si="7"/>
        <v>Moderate</v>
      </c>
    </row>
    <row r="197" spans="1:7" x14ac:dyDescent="0.3">
      <c r="A197">
        <v>4020332650</v>
      </c>
      <c r="B197" s="1">
        <v>42471</v>
      </c>
      <c r="C197" s="1" t="str">
        <f t="shared" si="6"/>
        <v>Monday</v>
      </c>
      <c r="D197" s="7">
        <v>2993</v>
      </c>
      <c r="E197" s="5">
        <v>2.1500000953674299</v>
      </c>
      <c r="F197" s="7">
        <v>2507</v>
      </c>
      <c r="G197" s="11" t="str">
        <f t="shared" si="7"/>
        <v>Low</v>
      </c>
    </row>
    <row r="198" spans="1:7" x14ac:dyDescent="0.3">
      <c r="A198">
        <v>4020332650</v>
      </c>
      <c r="B198" s="1">
        <v>42472</v>
      </c>
      <c r="C198" s="1" t="str">
        <f t="shared" si="6"/>
        <v>Tuesday</v>
      </c>
      <c r="D198" s="7">
        <v>8</v>
      </c>
      <c r="E198" s="5">
        <v>9.9999997764825804E-3</v>
      </c>
      <c r="F198" s="7">
        <v>446</v>
      </c>
      <c r="G198" s="11" t="str">
        <f t="shared" si="7"/>
        <v>Low</v>
      </c>
    </row>
    <row r="199" spans="1:7" x14ac:dyDescent="0.3">
      <c r="A199">
        <v>4057192912</v>
      </c>
      <c r="B199" s="1">
        <v>42441</v>
      </c>
      <c r="C199" s="1" t="str">
        <f t="shared" si="6"/>
        <v>Saturday</v>
      </c>
      <c r="D199" s="7">
        <v>0</v>
      </c>
      <c r="E199" s="5">
        <v>0</v>
      </c>
      <c r="F199" s="7">
        <v>1777</v>
      </c>
      <c r="G199" s="11" t="str">
        <f t="shared" si="7"/>
        <v>Low</v>
      </c>
    </row>
    <row r="200" spans="1:7" x14ac:dyDescent="0.3">
      <c r="A200">
        <v>4057192912</v>
      </c>
      <c r="B200" s="1">
        <v>42442</v>
      </c>
      <c r="C200" s="1" t="str">
        <f t="shared" si="6"/>
        <v>Sunday</v>
      </c>
      <c r="D200" s="7">
        <v>0</v>
      </c>
      <c r="E200" s="5">
        <v>0</v>
      </c>
      <c r="F200" s="7">
        <v>1777</v>
      </c>
      <c r="G200" s="11" t="str">
        <f t="shared" si="7"/>
        <v>Low</v>
      </c>
    </row>
    <row r="201" spans="1:7" x14ac:dyDescent="0.3">
      <c r="A201">
        <v>4057192912</v>
      </c>
      <c r="B201" s="1">
        <v>42443</v>
      </c>
      <c r="C201" s="1" t="str">
        <f t="shared" si="6"/>
        <v>Monday</v>
      </c>
      <c r="D201" s="7">
        <v>8433</v>
      </c>
      <c r="E201" s="5">
        <v>6.2300000190734899</v>
      </c>
      <c r="F201" s="7">
        <v>2453</v>
      </c>
      <c r="G201" s="11" t="str">
        <f t="shared" si="7"/>
        <v>Moderate</v>
      </c>
    </row>
    <row r="202" spans="1:7" x14ac:dyDescent="0.3">
      <c r="A202">
        <v>4057192912</v>
      </c>
      <c r="B202" s="1">
        <v>42444</v>
      </c>
      <c r="C202" s="1" t="str">
        <f t="shared" si="6"/>
        <v>Tuesday</v>
      </c>
      <c r="D202" s="7">
        <v>0</v>
      </c>
      <c r="E202" s="5">
        <v>0</v>
      </c>
      <c r="F202" s="7">
        <v>1776</v>
      </c>
      <c r="G202" s="11" t="str">
        <f t="shared" si="7"/>
        <v>Low</v>
      </c>
    </row>
    <row r="203" spans="1:7" x14ac:dyDescent="0.3">
      <c r="A203">
        <v>4057192912</v>
      </c>
      <c r="B203" s="1">
        <v>42445</v>
      </c>
      <c r="C203" s="1" t="str">
        <f t="shared" si="6"/>
        <v>Wednesday</v>
      </c>
      <c r="D203" s="7">
        <v>2139</v>
      </c>
      <c r="E203" s="5">
        <v>1.5599999427795399</v>
      </c>
      <c r="F203" s="7">
        <v>1935</v>
      </c>
      <c r="G203" s="11" t="str">
        <f t="shared" si="7"/>
        <v>Low</v>
      </c>
    </row>
    <row r="204" spans="1:7" x14ac:dyDescent="0.3">
      <c r="A204">
        <v>4057192912</v>
      </c>
      <c r="B204" s="1">
        <v>42446</v>
      </c>
      <c r="C204" s="1" t="str">
        <f t="shared" si="6"/>
        <v>Thursday</v>
      </c>
      <c r="D204" s="7">
        <v>0</v>
      </c>
      <c r="E204" s="5">
        <v>0</v>
      </c>
      <c r="F204" s="7">
        <v>1776</v>
      </c>
      <c r="G204" s="11" t="str">
        <f t="shared" si="7"/>
        <v>Low</v>
      </c>
    </row>
    <row r="205" spans="1:7" x14ac:dyDescent="0.3">
      <c r="A205">
        <v>4057192912</v>
      </c>
      <c r="B205" s="1">
        <v>42447</v>
      </c>
      <c r="C205" s="1" t="str">
        <f t="shared" si="6"/>
        <v>Friday</v>
      </c>
      <c r="D205" s="7">
        <v>949</v>
      </c>
      <c r="E205" s="5">
        <v>0.68999999761581399</v>
      </c>
      <c r="F205" s="7">
        <v>1870</v>
      </c>
      <c r="G205" s="11" t="str">
        <f t="shared" si="7"/>
        <v>Low</v>
      </c>
    </row>
    <row r="206" spans="1:7" x14ac:dyDescent="0.3">
      <c r="A206">
        <v>4057192912</v>
      </c>
      <c r="B206" s="1">
        <v>42448</v>
      </c>
      <c r="C206" s="1" t="str">
        <f t="shared" si="6"/>
        <v>Saturday</v>
      </c>
      <c r="D206" s="7">
        <v>0</v>
      </c>
      <c r="E206" s="5">
        <v>0</v>
      </c>
      <c r="F206" s="7">
        <v>1777</v>
      </c>
      <c r="G206" s="11" t="str">
        <f t="shared" si="7"/>
        <v>Low</v>
      </c>
    </row>
    <row r="207" spans="1:7" x14ac:dyDescent="0.3">
      <c r="A207">
        <v>4057192912</v>
      </c>
      <c r="B207" s="1">
        <v>42449</v>
      </c>
      <c r="C207" s="1" t="str">
        <f t="shared" si="6"/>
        <v>Sunday</v>
      </c>
      <c r="D207" s="7">
        <v>44</v>
      </c>
      <c r="E207" s="5">
        <v>2.9999999329447701E-2</v>
      </c>
      <c r="F207" s="7">
        <v>1782</v>
      </c>
      <c r="G207" s="11" t="str">
        <f t="shared" si="7"/>
        <v>Low</v>
      </c>
    </row>
    <row r="208" spans="1:7" x14ac:dyDescent="0.3">
      <c r="A208">
        <v>4057192912</v>
      </c>
      <c r="B208" s="1">
        <v>42450</v>
      </c>
      <c r="C208" s="1" t="str">
        <f t="shared" si="6"/>
        <v>Monday</v>
      </c>
      <c r="D208" s="7">
        <v>2660</v>
      </c>
      <c r="E208" s="5">
        <v>1.9400000572204601</v>
      </c>
      <c r="F208" s="7">
        <v>1978</v>
      </c>
      <c r="G208" s="11" t="str">
        <f t="shared" si="7"/>
        <v>Low</v>
      </c>
    </row>
    <row r="209" spans="1:7" x14ac:dyDescent="0.3">
      <c r="A209">
        <v>4057192912</v>
      </c>
      <c r="B209" s="1">
        <v>42451</v>
      </c>
      <c r="C209" s="1" t="str">
        <f t="shared" si="6"/>
        <v>Tuesday</v>
      </c>
      <c r="D209" s="7">
        <v>5561</v>
      </c>
      <c r="E209" s="5">
        <v>4.1900000572204599</v>
      </c>
      <c r="F209" s="7">
        <v>2296</v>
      </c>
      <c r="G209" s="11" t="str">
        <f t="shared" si="7"/>
        <v>Moderate</v>
      </c>
    </row>
    <row r="210" spans="1:7" x14ac:dyDescent="0.3">
      <c r="A210">
        <v>4057192912</v>
      </c>
      <c r="B210" s="1">
        <v>42452</v>
      </c>
      <c r="C210" s="1" t="str">
        <f t="shared" si="6"/>
        <v>Wednesday</v>
      </c>
      <c r="D210" s="7">
        <v>7239</v>
      </c>
      <c r="E210" s="5">
        <v>5.3400001525878897</v>
      </c>
      <c r="F210" s="7">
        <v>2484</v>
      </c>
      <c r="G210" s="11" t="str">
        <f t="shared" si="7"/>
        <v>Moderate</v>
      </c>
    </row>
    <row r="211" spans="1:7" x14ac:dyDescent="0.3">
      <c r="A211">
        <v>4057192912</v>
      </c>
      <c r="B211" s="1">
        <v>42453</v>
      </c>
      <c r="C211" s="1" t="str">
        <f t="shared" si="6"/>
        <v>Thursday</v>
      </c>
      <c r="D211" s="7">
        <v>7</v>
      </c>
      <c r="E211" s="5">
        <v>9.9999997764825804E-3</v>
      </c>
      <c r="F211" s="7">
        <v>1787</v>
      </c>
      <c r="G211" s="11" t="str">
        <f t="shared" si="7"/>
        <v>Low</v>
      </c>
    </row>
    <row r="212" spans="1:7" x14ac:dyDescent="0.3">
      <c r="A212">
        <v>4057192912</v>
      </c>
      <c r="B212" s="1">
        <v>42454</v>
      </c>
      <c r="C212" s="1" t="str">
        <f t="shared" si="6"/>
        <v>Friday</v>
      </c>
      <c r="D212" s="7">
        <v>0</v>
      </c>
      <c r="E212" s="5">
        <v>0</v>
      </c>
      <c r="F212" s="7">
        <v>1776</v>
      </c>
      <c r="G212" s="11" t="str">
        <f t="shared" si="7"/>
        <v>Low</v>
      </c>
    </row>
    <row r="213" spans="1:7" x14ac:dyDescent="0.3">
      <c r="A213">
        <v>4057192912</v>
      </c>
      <c r="B213" s="1">
        <v>42455</v>
      </c>
      <c r="C213" s="1" t="str">
        <f t="shared" si="6"/>
        <v>Saturday</v>
      </c>
      <c r="D213" s="7">
        <v>0</v>
      </c>
      <c r="E213" s="5">
        <v>0</v>
      </c>
      <c r="F213" s="7">
        <v>1776</v>
      </c>
      <c r="G213" s="11" t="str">
        <f t="shared" si="7"/>
        <v>Low</v>
      </c>
    </row>
    <row r="214" spans="1:7" x14ac:dyDescent="0.3">
      <c r="A214">
        <v>4057192912</v>
      </c>
      <c r="B214" s="1">
        <v>42456</v>
      </c>
      <c r="C214" s="1" t="str">
        <f t="shared" si="6"/>
        <v>Sunday</v>
      </c>
      <c r="D214" s="7">
        <v>2275</v>
      </c>
      <c r="E214" s="5">
        <v>1.6799999475479099</v>
      </c>
      <c r="F214" s="7">
        <v>2005</v>
      </c>
      <c r="G214" s="11" t="str">
        <f t="shared" si="7"/>
        <v>Low</v>
      </c>
    </row>
    <row r="215" spans="1:7" x14ac:dyDescent="0.3">
      <c r="A215">
        <v>4057192912</v>
      </c>
      <c r="B215" s="1">
        <v>42457</v>
      </c>
      <c r="C215" s="1" t="str">
        <f t="shared" si="6"/>
        <v>Monday</v>
      </c>
      <c r="D215" s="7">
        <v>8</v>
      </c>
      <c r="E215" s="5">
        <v>9.9999997764825804E-3</v>
      </c>
      <c r="F215" s="7">
        <v>1778</v>
      </c>
      <c r="G215" s="11" t="str">
        <f t="shared" si="7"/>
        <v>Low</v>
      </c>
    </row>
    <row r="216" spans="1:7" x14ac:dyDescent="0.3">
      <c r="A216">
        <v>4057192912</v>
      </c>
      <c r="B216" s="1">
        <v>42458</v>
      </c>
      <c r="C216" s="1" t="str">
        <f t="shared" si="6"/>
        <v>Tuesday</v>
      </c>
      <c r="D216" s="7">
        <v>5137</v>
      </c>
      <c r="E216" s="5">
        <v>3.7599999904632599</v>
      </c>
      <c r="F216" s="7">
        <v>2293</v>
      </c>
      <c r="G216" s="11" t="str">
        <f t="shared" si="7"/>
        <v>Moderate</v>
      </c>
    </row>
    <row r="217" spans="1:7" x14ac:dyDescent="0.3">
      <c r="A217">
        <v>4057192912</v>
      </c>
      <c r="B217" s="1">
        <v>42459</v>
      </c>
      <c r="C217" s="1" t="str">
        <f t="shared" si="6"/>
        <v>Wednesday</v>
      </c>
      <c r="D217" s="7">
        <v>5419</v>
      </c>
      <c r="E217" s="5">
        <v>4</v>
      </c>
      <c r="F217" s="7">
        <v>2259</v>
      </c>
      <c r="G217" s="11" t="str">
        <f t="shared" si="7"/>
        <v>Moderate</v>
      </c>
    </row>
    <row r="218" spans="1:7" x14ac:dyDescent="0.3">
      <c r="A218">
        <v>4057192912</v>
      </c>
      <c r="B218" s="1">
        <v>42460</v>
      </c>
      <c r="C218" s="1" t="str">
        <f t="shared" si="6"/>
        <v>Thursday</v>
      </c>
      <c r="D218" s="7">
        <v>0</v>
      </c>
      <c r="E218" s="5">
        <v>0</v>
      </c>
      <c r="F218" s="7">
        <v>1776</v>
      </c>
      <c r="G218" s="11" t="str">
        <f t="shared" si="7"/>
        <v>Low</v>
      </c>
    </row>
    <row r="219" spans="1:7" x14ac:dyDescent="0.3">
      <c r="A219">
        <v>4057192912</v>
      </c>
      <c r="B219" s="1">
        <v>42461</v>
      </c>
      <c r="C219" s="1" t="str">
        <f t="shared" si="6"/>
        <v>Friday</v>
      </c>
      <c r="D219" s="7">
        <v>0</v>
      </c>
      <c r="E219" s="5">
        <v>0</v>
      </c>
      <c r="F219" s="7">
        <v>1776</v>
      </c>
      <c r="G219" s="11" t="str">
        <f t="shared" si="7"/>
        <v>Low</v>
      </c>
    </row>
    <row r="220" spans="1:7" x14ac:dyDescent="0.3">
      <c r="A220">
        <v>4057192912</v>
      </c>
      <c r="B220" s="1">
        <v>42462</v>
      </c>
      <c r="C220" s="1" t="str">
        <f t="shared" si="6"/>
        <v>Saturday</v>
      </c>
      <c r="D220" s="7">
        <v>0</v>
      </c>
      <c r="E220" s="5">
        <v>0</v>
      </c>
      <c r="F220" s="7">
        <v>1776</v>
      </c>
      <c r="G220" s="11" t="str">
        <f t="shared" si="7"/>
        <v>Low</v>
      </c>
    </row>
    <row r="221" spans="1:7" x14ac:dyDescent="0.3">
      <c r="A221">
        <v>4057192912</v>
      </c>
      <c r="B221" s="1">
        <v>42463</v>
      </c>
      <c r="C221" s="1" t="str">
        <f t="shared" si="6"/>
        <v>Sunday</v>
      </c>
      <c r="D221" s="7">
        <v>0</v>
      </c>
      <c r="E221" s="5">
        <v>0</v>
      </c>
      <c r="F221" s="7">
        <v>1776</v>
      </c>
      <c r="G221" s="11" t="str">
        <f t="shared" si="7"/>
        <v>Low</v>
      </c>
    </row>
    <row r="222" spans="1:7" x14ac:dyDescent="0.3">
      <c r="A222">
        <v>4057192912</v>
      </c>
      <c r="B222" s="1">
        <v>42464</v>
      </c>
      <c r="C222" s="1" t="str">
        <f t="shared" si="6"/>
        <v>Monday</v>
      </c>
      <c r="D222" s="7">
        <v>0</v>
      </c>
      <c r="E222" s="5">
        <v>0</v>
      </c>
      <c r="F222" s="7">
        <v>1776</v>
      </c>
      <c r="G222" s="11" t="str">
        <f t="shared" si="7"/>
        <v>Low</v>
      </c>
    </row>
    <row r="223" spans="1:7" x14ac:dyDescent="0.3">
      <c r="A223">
        <v>4057192912</v>
      </c>
      <c r="B223" s="1">
        <v>42465</v>
      </c>
      <c r="C223" s="1" t="str">
        <f t="shared" si="6"/>
        <v>Tuesday</v>
      </c>
      <c r="D223" s="7">
        <v>0</v>
      </c>
      <c r="E223" s="5">
        <v>0</v>
      </c>
      <c r="F223" s="7">
        <v>1776</v>
      </c>
      <c r="G223" s="11" t="str">
        <f t="shared" si="7"/>
        <v>Low</v>
      </c>
    </row>
    <row r="224" spans="1:7" x14ac:dyDescent="0.3">
      <c r="A224">
        <v>4057192912</v>
      </c>
      <c r="B224" s="1">
        <v>42466</v>
      </c>
      <c r="C224" s="1" t="str">
        <f t="shared" si="6"/>
        <v>Wednesday</v>
      </c>
      <c r="D224" s="7">
        <v>18</v>
      </c>
      <c r="E224" s="5">
        <v>9.9999997764825804E-3</v>
      </c>
      <c r="F224" s="7">
        <v>1780</v>
      </c>
      <c r="G224" s="11" t="str">
        <f t="shared" si="7"/>
        <v>Low</v>
      </c>
    </row>
    <row r="225" spans="1:7" x14ac:dyDescent="0.3">
      <c r="A225">
        <v>4057192912</v>
      </c>
      <c r="B225" s="1">
        <v>42467</v>
      </c>
      <c r="C225" s="1" t="str">
        <f t="shared" si="6"/>
        <v>Thursday</v>
      </c>
      <c r="D225" s="7">
        <v>4</v>
      </c>
      <c r="E225" s="5">
        <v>0</v>
      </c>
      <c r="F225" s="7">
        <v>1778</v>
      </c>
      <c r="G225" s="11" t="str">
        <f t="shared" si="7"/>
        <v>Low</v>
      </c>
    </row>
    <row r="226" spans="1:7" x14ac:dyDescent="0.3">
      <c r="A226">
        <v>4057192912</v>
      </c>
      <c r="B226" s="1">
        <v>42468</v>
      </c>
      <c r="C226" s="1" t="str">
        <f t="shared" si="6"/>
        <v>Friday</v>
      </c>
      <c r="D226" s="7">
        <v>8426</v>
      </c>
      <c r="E226" s="5">
        <v>6.1599998474121103</v>
      </c>
      <c r="F226" s="7">
        <v>2360</v>
      </c>
      <c r="G226" s="11" t="str">
        <f t="shared" si="7"/>
        <v>Moderate</v>
      </c>
    </row>
    <row r="227" spans="1:7" x14ac:dyDescent="0.3">
      <c r="A227">
        <v>4057192912</v>
      </c>
      <c r="B227" s="1">
        <v>42469</v>
      </c>
      <c r="C227" s="1" t="str">
        <f t="shared" si="6"/>
        <v>Saturday</v>
      </c>
      <c r="D227" s="7">
        <v>1650</v>
      </c>
      <c r="E227" s="5">
        <v>1.21000003814697</v>
      </c>
      <c r="F227" s="7">
        <v>1952</v>
      </c>
      <c r="G227" s="11" t="str">
        <f t="shared" si="7"/>
        <v>Low</v>
      </c>
    </row>
    <row r="228" spans="1:7" x14ac:dyDescent="0.3">
      <c r="A228">
        <v>4057192912</v>
      </c>
      <c r="B228" s="1">
        <v>42470</v>
      </c>
      <c r="C228" s="1" t="str">
        <f t="shared" si="6"/>
        <v>Sunday</v>
      </c>
      <c r="D228" s="7">
        <v>3434</v>
      </c>
      <c r="E228" s="5">
        <v>2.5099999904632599</v>
      </c>
      <c r="F228" s="7">
        <v>2101</v>
      </c>
      <c r="G228" s="11" t="str">
        <f t="shared" si="7"/>
        <v>Low</v>
      </c>
    </row>
    <row r="229" spans="1:7" x14ac:dyDescent="0.3">
      <c r="A229">
        <v>4057192912</v>
      </c>
      <c r="B229" s="1">
        <v>42471</v>
      </c>
      <c r="C229" s="1" t="str">
        <f t="shared" si="6"/>
        <v>Monday</v>
      </c>
      <c r="D229" s="7">
        <v>6801</v>
      </c>
      <c r="E229" s="5">
        <v>4.9800000190734899</v>
      </c>
      <c r="F229" s="7">
        <v>2393</v>
      </c>
      <c r="G229" s="11" t="str">
        <f t="shared" si="7"/>
        <v>Moderate</v>
      </c>
    </row>
    <row r="230" spans="1:7" x14ac:dyDescent="0.3">
      <c r="A230">
        <v>4057192912</v>
      </c>
      <c r="B230" s="1">
        <v>42472</v>
      </c>
      <c r="C230" s="1" t="str">
        <f t="shared" si="6"/>
        <v>Tuesday</v>
      </c>
      <c r="D230" s="7">
        <v>187</v>
      </c>
      <c r="E230" s="5">
        <v>0.140000000596046</v>
      </c>
      <c r="F230" s="7">
        <v>538</v>
      </c>
      <c r="G230" s="11" t="str">
        <f t="shared" si="7"/>
        <v>Low</v>
      </c>
    </row>
    <row r="231" spans="1:7" x14ac:dyDescent="0.3">
      <c r="A231">
        <v>4319703577</v>
      </c>
      <c r="B231" s="1">
        <v>42458</v>
      </c>
      <c r="C231" s="1" t="str">
        <f t="shared" si="6"/>
        <v>Tuesday</v>
      </c>
      <c r="D231" s="7">
        <v>5643</v>
      </c>
      <c r="E231" s="5">
        <v>3.78999996185303</v>
      </c>
      <c r="F231" s="7">
        <v>1958</v>
      </c>
      <c r="G231" s="11" t="str">
        <f t="shared" si="7"/>
        <v>Moderate</v>
      </c>
    </row>
    <row r="232" spans="1:7" x14ac:dyDescent="0.3">
      <c r="A232">
        <v>4319703577</v>
      </c>
      <c r="B232" s="1">
        <v>42459</v>
      </c>
      <c r="C232" s="1" t="str">
        <f t="shared" si="6"/>
        <v>Wednesday</v>
      </c>
      <c r="D232" s="7">
        <v>9043</v>
      </c>
      <c r="E232" s="5">
        <v>6.0700001716613796</v>
      </c>
      <c r="F232" s="7">
        <v>2141</v>
      </c>
      <c r="G232" s="11" t="str">
        <f t="shared" si="7"/>
        <v>Moderate</v>
      </c>
    </row>
    <row r="233" spans="1:7" x14ac:dyDescent="0.3">
      <c r="A233">
        <v>4319703577</v>
      </c>
      <c r="B233" s="1">
        <v>42460</v>
      </c>
      <c r="C233" s="1" t="str">
        <f t="shared" si="6"/>
        <v>Thursday</v>
      </c>
      <c r="D233" s="7">
        <v>8144</v>
      </c>
      <c r="E233" s="5">
        <v>5.46000003814697</v>
      </c>
      <c r="F233" s="7">
        <v>2129</v>
      </c>
      <c r="G233" s="11" t="str">
        <f t="shared" si="7"/>
        <v>Moderate</v>
      </c>
    </row>
    <row r="234" spans="1:7" x14ac:dyDescent="0.3">
      <c r="A234">
        <v>4319703577</v>
      </c>
      <c r="B234" s="1">
        <v>42461</v>
      </c>
      <c r="C234" s="1" t="str">
        <f t="shared" si="6"/>
        <v>Friday</v>
      </c>
      <c r="D234" s="7">
        <v>9343</v>
      </c>
      <c r="E234" s="5">
        <v>6.2699999809265101</v>
      </c>
      <c r="F234" s="7">
        <v>2216</v>
      </c>
      <c r="G234" s="11" t="str">
        <f t="shared" si="7"/>
        <v>Moderate</v>
      </c>
    </row>
    <row r="235" spans="1:7" x14ac:dyDescent="0.3">
      <c r="A235">
        <v>4319703577</v>
      </c>
      <c r="B235" s="1">
        <v>42462</v>
      </c>
      <c r="C235" s="1" t="str">
        <f t="shared" si="6"/>
        <v>Saturday</v>
      </c>
      <c r="D235" s="7">
        <v>8405</v>
      </c>
      <c r="E235" s="5">
        <v>5.6599998474121103</v>
      </c>
      <c r="F235" s="7">
        <v>2154</v>
      </c>
      <c r="G235" s="11" t="str">
        <f t="shared" si="7"/>
        <v>Moderate</v>
      </c>
    </row>
    <row r="236" spans="1:7" x14ac:dyDescent="0.3">
      <c r="A236">
        <v>4319703577</v>
      </c>
      <c r="B236" s="1">
        <v>42463</v>
      </c>
      <c r="C236" s="1" t="str">
        <f t="shared" si="6"/>
        <v>Sunday</v>
      </c>
      <c r="D236" s="7">
        <v>8223</v>
      </c>
      <c r="E236" s="5">
        <v>5.5199999809265101</v>
      </c>
      <c r="F236" s="7">
        <v>2178</v>
      </c>
      <c r="G236" s="11" t="str">
        <f t="shared" si="7"/>
        <v>Moderate</v>
      </c>
    </row>
    <row r="237" spans="1:7" x14ac:dyDescent="0.3">
      <c r="A237">
        <v>4319703577</v>
      </c>
      <c r="B237" s="1">
        <v>42464</v>
      </c>
      <c r="C237" s="1" t="str">
        <f t="shared" si="6"/>
        <v>Monday</v>
      </c>
      <c r="D237" s="7">
        <v>10067</v>
      </c>
      <c r="E237" s="5">
        <v>6.7600002288818404</v>
      </c>
      <c r="F237" s="7">
        <v>2308</v>
      </c>
      <c r="G237" s="11" t="str">
        <f t="shared" si="7"/>
        <v>High</v>
      </c>
    </row>
    <row r="238" spans="1:7" x14ac:dyDescent="0.3">
      <c r="A238">
        <v>4319703577</v>
      </c>
      <c r="B238" s="1">
        <v>42465</v>
      </c>
      <c r="C238" s="1" t="str">
        <f t="shared" si="6"/>
        <v>Tuesday</v>
      </c>
      <c r="D238" s="7">
        <v>8359</v>
      </c>
      <c r="E238" s="5">
        <v>5.6300001144409197</v>
      </c>
      <c r="F238" s="7">
        <v>2201</v>
      </c>
      <c r="G238" s="11" t="str">
        <f t="shared" si="7"/>
        <v>Moderate</v>
      </c>
    </row>
    <row r="239" spans="1:7" x14ac:dyDescent="0.3">
      <c r="A239">
        <v>4319703577</v>
      </c>
      <c r="B239" s="1">
        <v>42466</v>
      </c>
      <c r="C239" s="1" t="str">
        <f t="shared" si="6"/>
        <v>Wednesday</v>
      </c>
      <c r="D239" s="7">
        <v>10946</v>
      </c>
      <c r="E239" s="5">
        <v>7.3499999046325701</v>
      </c>
      <c r="F239" s="7">
        <v>2341</v>
      </c>
      <c r="G239" s="11" t="str">
        <f t="shared" si="7"/>
        <v>High</v>
      </c>
    </row>
    <row r="240" spans="1:7" x14ac:dyDescent="0.3">
      <c r="A240">
        <v>4319703577</v>
      </c>
      <c r="B240" s="1">
        <v>42467</v>
      </c>
      <c r="C240" s="1" t="str">
        <f t="shared" si="6"/>
        <v>Thursday</v>
      </c>
      <c r="D240" s="7">
        <v>9130</v>
      </c>
      <c r="E240" s="5">
        <v>6.1500000953674299</v>
      </c>
      <c r="F240" s="7">
        <v>2236</v>
      </c>
      <c r="G240" s="11" t="str">
        <f t="shared" si="7"/>
        <v>Moderate</v>
      </c>
    </row>
    <row r="241" spans="1:7" x14ac:dyDescent="0.3">
      <c r="A241">
        <v>4319703577</v>
      </c>
      <c r="B241" s="1">
        <v>42468</v>
      </c>
      <c r="C241" s="1" t="str">
        <f t="shared" si="6"/>
        <v>Friday</v>
      </c>
      <c r="D241" s="7">
        <v>6544</v>
      </c>
      <c r="E241" s="5">
        <v>4.4099998474121103</v>
      </c>
      <c r="F241" s="7">
        <v>2069</v>
      </c>
      <c r="G241" s="11" t="str">
        <f t="shared" si="7"/>
        <v>Moderate</v>
      </c>
    </row>
    <row r="242" spans="1:7" x14ac:dyDescent="0.3">
      <c r="A242">
        <v>4319703577</v>
      </c>
      <c r="B242" s="1">
        <v>42469</v>
      </c>
      <c r="C242" s="1" t="str">
        <f t="shared" si="6"/>
        <v>Saturday</v>
      </c>
      <c r="D242" s="7">
        <v>0</v>
      </c>
      <c r="E242" s="5">
        <v>0</v>
      </c>
      <c r="F242" s="7">
        <v>0</v>
      </c>
      <c r="G242" s="11" t="str">
        <f t="shared" si="7"/>
        <v>Low</v>
      </c>
    </row>
    <row r="243" spans="1:7" x14ac:dyDescent="0.3">
      <c r="A243">
        <v>4388161847</v>
      </c>
      <c r="B243" s="1">
        <v>42458</v>
      </c>
      <c r="C243" s="1" t="str">
        <f t="shared" si="6"/>
        <v>Tuesday</v>
      </c>
      <c r="D243" s="7">
        <v>0</v>
      </c>
      <c r="E243" s="5">
        <v>0</v>
      </c>
      <c r="F243" s="7">
        <v>1878</v>
      </c>
      <c r="G243" s="11" t="str">
        <f t="shared" si="7"/>
        <v>Low</v>
      </c>
    </row>
    <row r="244" spans="1:7" x14ac:dyDescent="0.3">
      <c r="A244">
        <v>4388161847</v>
      </c>
      <c r="B244" s="1">
        <v>42459</v>
      </c>
      <c r="C244" s="1" t="str">
        <f t="shared" si="6"/>
        <v>Wednesday</v>
      </c>
      <c r="D244" s="7">
        <v>0</v>
      </c>
      <c r="E244" s="5">
        <v>0</v>
      </c>
      <c r="F244" s="7">
        <v>1878</v>
      </c>
      <c r="G244" s="11" t="str">
        <f t="shared" si="7"/>
        <v>Low</v>
      </c>
    </row>
    <row r="245" spans="1:7" x14ac:dyDescent="0.3">
      <c r="A245">
        <v>4388161847</v>
      </c>
      <c r="B245" s="1">
        <v>42460</v>
      </c>
      <c r="C245" s="1" t="str">
        <f t="shared" si="6"/>
        <v>Thursday</v>
      </c>
      <c r="D245" s="7">
        <v>0</v>
      </c>
      <c r="E245" s="5">
        <v>0</v>
      </c>
      <c r="F245" s="7">
        <v>1878</v>
      </c>
      <c r="G245" s="11" t="str">
        <f t="shared" si="7"/>
        <v>Low</v>
      </c>
    </row>
    <row r="246" spans="1:7" x14ac:dyDescent="0.3">
      <c r="A246">
        <v>4388161847</v>
      </c>
      <c r="B246" s="1">
        <v>42461</v>
      </c>
      <c r="C246" s="1" t="str">
        <f t="shared" si="6"/>
        <v>Friday</v>
      </c>
      <c r="D246" s="7">
        <v>0</v>
      </c>
      <c r="E246" s="5">
        <v>0</v>
      </c>
      <c r="F246" s="7">
        <v>1878</v>
      </c>
      <c r="G246" s="11" t="str">
        <f t="shared" si="7"/>
        <v>Low</v>
      </c>
    </row>
    <row r="247" spans="1:7" x14ac:dyDescent="0.3">
      <c r="A247">
        <v>4388161847</v>
      </c>
      <c r="B247" s="1">
        <v>42462</v>
      </c>
      <c r="C247" s="1" t="str">
        <f t="shared" si="6"/>
        <v>Saturday</v>
      </c>
      <c r="D247" s="7">
        <v>0</v>
      </c>
      <c r="E247" s="5">
        <v>0</v>
      </c>
      <c r="F247" s="7">
        <v>1878</v>
      </c>
      <c r="G247" s="11" t="str">
        <f t="shared" si="7"/>
        <v>Low</v>
      </c>
    </row>
    <row r="248" spans="1:7" x14ac:dyDescent="0.3">
      <c r="A248">
        <v>4388161847</v>
      </c>
      <c r="B248" s="1">
        <v>42463</v>
      </c>
      <c r="C248" s="1" t="str">
        <f t="shared" si="6"/>
        <v>Sunday</v>
      </c>
      <c r="D248" s="7">
        <v>0</v>
      </c>
      <c r="E248" s="5">
        <v>0</v>
      </c>
      <c r="F248" s="7">
        <v>1878</v>
      </c>
      <c r="G248" s="11" t="str">
        <f t="shared" si="7"/>
        <v>Low</v>
      </c>
    </row>
    <row r="249" spans="1:7" x14ac:dyDescent="0.3">
      <c r="A249">
        <v>4388161847</v>
      </c>
      <c r="B249" s="1">
        <v>42464</v>
      </c>
      <c r="C249" s="1" t="str">
        <f t="shared" si="6"/>
        <v>Monday</v>
      </c>
      <c r="D249" s="7">
        <v>0</v>
      </c>
      <c r="E249" s="5">
        <v>0</v>
      </c>
      <c r="F249" s="7">
        <v>1878</v>
      </c>
      <c r="G249" s="11" t="str">
        <f t="shared" si="7"/>
        <v>Low</v>
      </c>
    </row>
    <row r="250" spans="1:7" x14ac:dyDescent="0.3">
      <c r="A250">
        <v>4388161847</v>
      </c>
      <c r="B250" s="1">
        <v>42465</v>
      </c>
      <c r="C250" s="1" t="str">
        <f t="shared" si="6"/>
        <v>Tuesday</v>
      </c>
      <c r="D250" s="7">
        <v>0</v>
      </c>
      <c r="E250" s="5">
        <v>0</v>
      </c>
      <c r="F250" s="7">
        <v>1296</v>
      </c>
      <c r="G250" s="11" t="str">
        <f t="shared" si="7"/>
        <v>Low</v>
      </c>
    </row>
    <row r="251" spans="1:7" x14ac:dyDescent="0.3">
      <c r="A251">
        <v>4445114986</v>
      </c>
      <c r="B251" s="1">
        <v>42458</v>
      </c>
      <c r="C251" s="1" t="str">
        <f t="shared" si="6"/>
        <v>Tuesday</v>
      </c>
      <c r="D251" s="7">
        <v>2303</v>
      </c>
      <c r="E251" s="5">
        <v>1.54999995231628</v>
      </c>
      <c r="F251" s="7">
        <v>2010</v>
      </c>
      <c r="G251" s="11" t="str">
        <f t="shared" si="7"/>
        <v>Low</v>
      </c>
    </row>
    <row r="252" spans="1:7" x14ac:dyDescent="0.3">
      <c r="A252">
        <v>4445114986</v>
      </c>
      <c r="B252" s="1">
        <v>42459</v>
      </c>
      <c r="C252" s="1" t="str">
        <f t="shared" si="6"/>
        <v>Wednesday</v>
      </c>
      <c r="D252" s="7">
        <v>2600</v>
      </c>
      <c r="E252" s="5">
        <v>1.7400000095367401</v>
      </c>
      <c r="F252" s="7">
        <v>2032</v>
      </c>
      <c r="G252" s="11" t="str">
        <f t="shared" si="7"/>
        <v>Low</v>
      </c>
    </row>
    <row r="253" spans="1:7" x14ac:dyDescent="0.3">
      <c r="A253">
        <v>4445114986</v>
      </c>
      <c r="B253" s="1">
        <v>42460</v>
      </c>
      <c r="C253" s="1" t="str">
        <f t="shared" si="6"/>
        <v>Thursday</v>
      </c>
      <c r="D253" s="7">
        <v>4804</v>
      </c>
      <c r="E253" s="5">
        <v>3.2200000286102299</v>
      </c>
      <c r="F253" s="7">
        <v>2227</v>
      </c>
      <c r="G253" s="11" t="str">
        <f t="shared" si="7"/>
        <v>Low</v>
      </c>
    </row>
    <row r="254" spans="1:7" x14ac:dyDescent="0.3">
      <c r="A254">
        <v>4445114986</v>
      </c>
      <c r="B254" s="1">
        <v>42461</v>
      </c>
      <c r="C254" s="1" t="str">
        <f t="shared" si="6"/>
        <v>Friday</v>
      </c>
      <c r="D254" s="7">
        <v>3271</v>
      </c>
      <c r="E254" s="5">
        <v>2.1900000572204599</v>
      </c>
      <c r="F254" s="7">
        <v>2133</v>
      </c>
      <c r="G254" s="11" t="str">
        <f t="shared" si="7"/>
        <v>Low</v>
      </c>
    </row>
    <row r="255" spans="1:7" x14ac:dyDescent="0.3">
      <c r="A255">
        <v>4445114986</v>
      </c>
      <c r="B255" s="1">
        <v>42462</v>
      </c>
      <c r="C255" s="1" t="str">
        <f t="shared" si="6"/>
        <v>Saturday</v>
      </c>
      <c r="D255" s="7">
        <v>5406</v>
      </c>
      <c r="E255" s="5">
        <v>3.6300001144409202</v>
      </c>
      <c r="F255" s="7">
        <v>2317</v>
      </c>
      <c r="G255" s="11" t="str">
        <f t="shared" si="7"/>
        <v>Moderate</v>
      </c>
    </row>
    <row r="256" spans="1:7" x14ac:dyDescent="0.3">
      <c r="A256">
        <v>4445114986</v>
      </c>
      <c r="B256" s="1">
        <v>42463</v>
      </c>
      <c r="C256" s="1" t="str">
        <f t="shared" si="6"/>
        <v>Sunday</v>
      </c>
      <c r="D256" s="7">
        <v>3146</v>
      </c>
      <c r="E256" s="5">
        <v>2.1099998950958301</v>
      </c>
      <c r="F256" s="7">
        <v>2058</v>
      </c>
      <c r="G256" s="11" t="str">
        <f t="shared" si="7"/>
        <v>Low</v>
      </c>
    </row>
    <row r="257" spans="1:7" x14ac:dyDescent="0.3">
      <c r="A257">
        <v>4445114986</v>
      </c>
      <c r="B257" s="1">
        <v>42464</v>
      </c>
      <c r="C257" s="1" t="str">
        <f t="shared" si="6"/>
        <v>Monday</v>
      </c>
      <c r="D257" s="7">
        <v>2422</v>
      </c>
      <c r="E257" s="5">
        <v>1.62999999523163</v>
      </c>
      <c r="F257" s="7">
        <v>1935</v>
      </c>
      <c r="G257" s="11" t="str">
        <f t="shared" si="7"/>
        <v>Low</v>
      </c>
    </row>
    <row r="258" spans="1:7" x14ac:dyDescent="0.3">
      <c r="A258">
        <v>4445114986</v>
      </c>
      <c r="B258" s="1">
        <v>42465</v>
      </c>
      <c r="C258" s="1" t="str">
        <f t="shared" si="6"/>
        <v>Tuesday</v>
      </c>
      <c r="D258" s="7">
        <v>4239</v>
      </c>
      <c r="E258" s="5">
        <v>2.8399999141693102</v>
      </c>
      <c r="F258" s="7">
        <v>2217</v>
      </c>
      <c r="G258" s="11" t="str">
        <f t="shared" si="7"/>
        <v>Low</v>
      </c>
    </row>
    <row r="259" spans="1:7" x14ac:dyDescent="0.3">
      <c r="A259">
        <v>4445114986</v>
      </c>
      <c r="B259" s="1">
        <v>42466</v>
      </c>
      <c r="C259" s="1" t="str">
        <f t="shared" ref="C259:C322" si="8">TEXT(B259,"dddd")</f>
        <v>Wednesday</v>
      </c>
      <c r="D259" s="7">
        <v>6911</v>
      </c>
      <c r="E259" s="5">
        <v>4.7800002098083496</v>
      </c>
      <c r="F259" s="7">
        <v>2374</v>
      </c>
      <c r="G259" s="11" t="str">
        <f t="shared" ref="G259:G322" si="9">IF(D259&lt;5000,"Low",IF(D259&lt;=10000,"Moderate","High"))</f>
        <v>Moderate</v>
      </c>
    </row>
    <row r="260" spans="1:7" x14ac:dyDescent="0.3">
      <c r="A260">
        <v>4445114986</v>
      </c>
      <c r="B260" s="1">
        <v>42467</v>
      </c>
      <c r="C260" s="1" t="str">
        <f t="shared" si="8"/>
        <v>Thursday</v>
      </c>
      <c r="D260" s="7">
        <v>6667</v>
      </c>
      <c r="E260" s="5">
        <v>4.6100001335143999</v>
      </c>
      <c r="F260" s="7">
        <v>2335</v>
      </c>
      <c r="G260" s="11" t="str">
        <f t="shared" si="9"/>
        <v>Moderate</v>
      </c>
    </row>
    <row r="261" spans="1:7" x14ac:dyDescent="0.3">
      <c r="A261">
        <v>4445114986</v>
      </c>
      <c r="B261" s="1">
        <v>42468</v>
      </c>
      <c r="C261" s="1" t="str">
        <f t="shared" si="8"/>
        <v>Friday</v>
      </c>
      <c r="D261" s="7">
        <v>5543</v>
      </c>
      <c r="E261" s="5">
        <v>3.7200000286102299</v>
      </c>
      <c r="F261" s="7">
        <v>2303</v>
      </c>
      <c r="G261" s="11" t="str">
        <f t="shared" si="9"/>
        <v>Moderate</v>
      </c>
    </row>
    <row r="262" spans="1:7" x14ac:dyDescent="0.3">
      <c r="A262">
        <v>4445114986</v>
      </c>
      <c r="B262" s="1">
        <v>42469</v>
      </c>
      <c r="C262" s="1" t="str">
        <f t="shared" si="8"/>
        <v>Saturday</v>
      </c>
      <c r="D262" s="7">
        <v>4195</v>
      </c>
      <c r="E262" s="5">
        <v>2.8099999427795401</v>
      </c>
      <c r="F262" s="7">
        <v>2210</v>
      </c>
      <c r="G262" s="11" t="str">
        <f t="shared" si="9"/>
        <v>Low</v>
      </c>
    </row>
    <row r="263" spans="1:7" x14ac:dyDescent="0.3">
      <c r="A263">
        <v>4445114986</v>
      </c>
      <c r="B263" s="1">
        <v>42470</v>
      </c>
      <c r="C263" s="1" t="str">
        <f t="shared" si="8"/>
        <v>Sunday</v>
      </c>
      <c r="D263" s="7">
        <v>6625</v>
      </c>
      <c r="E263" s="5">
        <v>4.4499998092651403</v>
      </c>
      <c r="F263" s="7">
        <v>2424</v>
      </c>
      <c r="G263" s="11" t="str">
        <f t="shared" si="9"/>
        <v>Moderate</v>
      </c>
    </row>
    <row r="264" spans="1:7" x14ac:dyDescent="0.3">
      <c r="A264">
        <v>4445114986</v>
      </c>
      <c r="B264" s="1">
        <v>42471</v>
      </c>
      <c r="C264" s="1" t="str">
        <f t="shared" si="8"/>
        <v>Monday</v>
      </c>
      <c r="D264" s="7">
        <v>5986</v>
      </c>
      <c r="E264" s="5">
        <v>4.1300001144409197</v>
      </c>
      <c r="F264" s="7">
        <v>2297</v>
      </c>
      <c r="G264" s="11" t="str">
        <f t="shared" si="9"/>
        <v>Moderate</v>
      </c>
    </row>
    <row r="265" spans="1:7" x14ac:dyDescent="0.3">
      <c r="A265">
        <v>4445114986</v>
      </c>
      <c r="B265" s="1">
        <v>42472</v>
      </c>
      <c r="C265" s="1" t="str">
        <f t="shared" si="8"/>
        <v>Tuesday</v>
      </c>
      <c r="D265" s="7">
        <v>278</v>
      </c>
      <c r="E265" s="5">
        <v>0.18999999761581399</v>
      </c>
      <c r="F265" s="7">
        <v>745</v>
      </c>
      <c r="G265" s="11" t="str">
        <f t="shared" si="9"/>
        <v>Low</v>
      </c>
    </row>
    <row r="266" spans="1:7" x14ac:dyDescent="0.3">
      <c r="A266">
        <v>4558609924</v>
      </c>
      <c r="B266" s="1">
        <v>42461</v>
      </c>
      <c r="C266" s="1" t="str">
        <f t="shared" si="8"/>
        <v>Friday</v>
      </c>
      <c r="D266" s="7">
        <v>5336</v>
      </c>
      <c r="E266" s="5">
        <v>3.5299999713897701</v>
      </c>
      <c r="F266" s="7">
        <v>1902</v>
      </c>
      <c r="G266" s="11" t="str">
        <f t="shared" si="9"/>
        <v>Moderate</v>
      </c>
    </row>
    <row r="267" spans="1:7" x14ac:dyDescent="0.3">
      <c r="A267">
        <v>4558609924</v>
      </c>
      <c r="B267" s="1">
        <v>42462</v>
      </c>
      <c r="C267" s="1" t="str">
        <f t="shared" si="8"/>
        <v>Saturday</v>
      </c>
      <c r="D267" s="7">
        <v>3183</v>
      </c>
      <c r="E267" s="5">
        <v>2.0999999046325701</v>
      </c>
      <c r="F267" s="7">
        <v>1680</v>
      </c>
      <c r="G267" s="11" t="str">
        <f t="shared" si="9"/>
        <v>Low</v>
      </c>
    </row>
    <row r="268" spans="1:7" x14ac:dyDescent="0.3">
      <c r="A268">
        <v>4558609924</v>
      </c>
      <c r="B268" s="1">
        <v>42463</v>
      </c>
      <c r="C268" s="1" t="str">
        <f t="shared" si="8"/>
        <v>Sunday</v>
      </c>
      <c r="D268" s="7">
        <v>6176</v>
      </c>
      <c r="E268" s="5">
        <v>4.0799999237060502</v>
      </c>
      <c r="F268" s="7">
        <v>1901</v>
      </c>
      <c r="G268" s="11" t="str">
        <f t="shared" si="9"/>
        <v>Moderate</v>
      </c>
    </row>
    <row r="269" spans="1:7" x14ac:dyDescent="0.3">
      <c r="A269">
        <v>4558609924</v>
      </c>
      <c r="B269" s="1">
        <v>42464</v>
      </c>
      <c r="C269" s="1" t="str">
        <f t="shared" si="8"/>
        <v>Monday</v>
      </c>
      <c r="D269" s="7">
        <v>8205</v>
      </c>
      <c r="E269" s="5">
        <v>5.4200000762939498</v>
      </c>
      <c r="F269" s="7">
        <v>2078</v>
      </c>
      <c r="G269" s="11" t="str">
        <f t="shared" si="9"/>
        <v>Moderate</v>
      </c>
    </row>
    <row r="270" spans="1:7" x14ac:dyDescent="0.3">
      <c r="A270">
        <v>4558609924</v>
      </c>
      <c r="B270" s="1">
        <v>42465</v>
      </c>
      <c r="C270" s="1" t="str">
        <f t="shared" si="8"/>
        <v>Tuesday</v>
      </c>
      <c r="D270" s="7">
        <v>6799</v>
      </c>
      <c r="E270" s="5">
        <v>4.4899997711181596</v>
      </c>
      <c r="F270" s="7">
        <v>1876</v>
      </c>
      <c r="G270" s="11" t="str">
        <f t="shared" si="9"/>
        <v>Moderate</v>
      </c>
    </row>
    <row r="271" spans="1:7" x14ac:dyDescent="0.3">
      <c r="A271">
        <v>4558609924</v>
      </c>
      <c r="B271" s="1">
        <v>42466</v>
      </c>
      <c r="C271" s="1" t="str">
        <f t="shared" si="8"/>
        <v>Wednesday</v>
      </c>
      <c r="D271" s="7">
        <v>5668</v>
      </c>
      <c r="E271" s="5">
        <v>3.75</v>
      </c>
      <c r="F271" s="7">
        <v>1853</v>
      </c>
      <c r="G271" s="11" t="str">
        <f t="shared" si="9"/>
        <v>Moderate</v>
      </c>
    </row>
    <row r="272" spans="1:7" x14ac:dyDescent="0.3">
      <c r="A272">
        <v>4558609924</v>
      </c>
      <c r="B272" s="1">
        <v>42467</v>
      </c>
      <c r="C272" s="1" t="str">
        <f t="shared" si="8"/>
        <v>Thursday</v>
      </c>
      <c r="D272" s="7">
        <v>7998</v>
      </c>
      <c r="E272" s="5">
        <v>5.28999996185303</v>
      </c>
      <c r="F272" s="7">
        <v>2235</v>
      </c>
      <c r="G272" s="11" t="str">
        <f t="shared" si="9"/>
        <v>Moderate</v>
      </c>
    </row>
    <row r="273" spans="1:7" x14ac:dyDescent="0.3">
      <c r="A273">
        <v>4558609924</v>
      </c>
      <c r="B273" s="1">
        <v>42468</v>
      </c>
      <c r="C273" s="1" t="str">
        <f t="shared" si="8"/>
        <v>Friday</v>
      </c>
      <c r="D273" s="7">
        <v>4195</v>
      </c>
      <c r="E273" s="5">
        <v>2.7699999809265101</v>
      </c>
      <c r="F273" s="7">
        <v>1778</v>
      </c>
      <c r="G273" s="11" t="str">
        <f t="shared" si="9"/>
        <v>Low</v>
      </c>
    </row>
    <row r="274" spans="1:7" x14ac:dyDescent="0.3">
      <c r="A274">
        <v>4558609924</v>
      </c>
      <c r="B274" s="1">
        <v>42469</v>
      </c>
      <c r="C274" s="1" t="str">
        <f t="shared" si="8"/>
        <v>Saturday</v>
      </c>
      <c r="D274" s="7">
        <v>5512</v>
      </c>
      <c r="E274" s="5">
        <v>3.6400001049041699</v>
      </c>
      <c r="F274" s="7">
        <v>1882</v>
      </c>
      <c r="G274" s="11" t="str">
        <f t="shared" si="9"/>
        <v>Moderate</v>
      </c>
    </row>
    <row r="275" spans="1:7" x14ac:dyDescent="0.3">
      <c r="A275">
        <v>4558609924</v>
      </c>
      <c r="B275" s="1">
        <v>42470</v>
      </c>
      <c r="C275" s="1" t="str">
        <f t="shared" si="8"/>
        <v>Sunday</v>
      </c>
      <c r="D275" s="7">
        <v>6263</v>
      </c>
      <c r="E275" s="5">
        <v>4.1399998664856001</v>
      </c>
      <c r="F275" s="7">
        <v>1906</v>
      </c>
      <c r="G275" s="11" t="str">
        <f t="shared" si="9"/>
        <v>Moderate</v>
      </c>
    </row>
    <row r="276" spans="1:7" x14ac:dyDescent="0.3">
      <c r="A276">
        <v>4558609924</v>
      </c>
      <c r="B276" s="1">
        <v>42471</v>
      </c>
      <c r="C276" s="1" t="str">
        <f t="shared" si="8"/>
        <v>Monday</v>
      </c>
      <c r="D276" s="7">
        <v>8828</v>
      </c>
      <c r="E276" s="5">
        <v>5.8400001525878897</v>
      </c>
      <c r="F276" s="7">
        <v>2149</v>
      </c>
      <c r="G276" s="11" t="str">
        <f t="shared" si="9"/>
        <v>Moderate</v>
      </c>
    </row>
    <row r="277" spans="1:7" x14ac:dyDescent="0.3">
      <c r="A277">
        <v>4558609924</v>
      </c>
      <c r="B277" s="1">
        <v>42472</v>
      </c>
      <c r="C277" s="1" t="str">
        <f t="shared" si="8"/>
        <v>Tuesday</v>
      </c>
      <c r="D277" s="7">
        <v>1260</v>
      </c>
      <c r="E277" s="5">
        <v>0.82999998331069902</v>
      </c>
      <c r="F277" s="7">
        <v>722</v>
      </c>
      <c r="G277" s="11" t="str">
        <f t="shared" si="9"/>
        <v>Low</v>
      </c>
    </row>
    <row r="278" spans="1:7" x14ac:dyDescent="0.3">
      <c r="A278">
        <v>4702921684</v>
      </c>
      <c r="B278" s="1">
        <v>42458</v>
      </c>
      <c r="C278" s="1" t="str">
        <f t="shared" si="8"/>
        <v>Tuesday</v>
      </c>
      <c r="D278" s="7">
        <v>6506</v>
      </c>
      <c r="E278" s="5">
        <v>5.2800002098083496</v>
      </c>
      <c r="F278" s="7">
        <v>2886</v>
      </c>
      <c r="G278" s="11" t="str">
        <f t="shared" si="9"/>
        <v>Moderate</v>
      </c>
    </row>
    <row r="279" spans="1:7" x14ac:dyDescent="0.3">
      <c r="A279">
        <v>4702921684</v>
      </c>
      <c r="B279" s="1">
        <v>42459</v>
      </c>
      <c r="C279" s="1" t="str">
        <f t="shared" si="8"/>
        <v>Wednesday</v>
      </c>
      <c r="D279" s="7">
        <v>7583</v>
      </c>
      <c r="E279" s="5">
        <v>6.1500000953674299</v>
      </c>
      <c r="F279" s="7">
        <v>2915</v>
      </c>
      <c r="G279" s="11" t="str">
        <f t="shared" si="9"/>
        <v>Moderate</v>
      </c>
    </row>
    <row r="280" spans="1:7" x14ac:dyDescent="0.3">
      <c r="A280">
        <v>4702921684</v>
      </c>
      <c r="B280" s="1">
        <v>42460</v>
      </c>
      <c r="C280" s="1" t="str">
        <f t="shared" si="8"/>
        <v>Thursday</v>
      </c>
      <c r="D280" s="7">
        <v>6963</v>
      </c>
      <c r="E280" s="5">
        <v>5.6500000953674299</v>
      </c>
      <c r="F280" s="7">
        <v>2895</v>
      </c>
      <c r="G280" s="11" t="str">
        <f t="shared" si="9"/>
        <v>Moderate</v>
      </c>
    </row>
    <row r="281" spans="1:7" x14ac:dyDescent="0.3">
      <c r="A281">
        <v>4702921684</v>
      </c>
      <c r="B281" s="1">
        <v>42461</v>
      </c>
      <c r="C281" s="1" t="str">
        <f t="shared" si="8"/>
        <v>Friday</v>
      </c>
      <c r="D281" s="7">
        <v>7165</v>
      </c>
      <c r="E281" s="5">
        <v>5.8099999427795401</v>
      </c>
      <c r="F281" s="7">
        <v>2923</v>
      </c>
      <c r="G281" s="11" t="str">
        <f t="shared" si="9"/>
        <v>Moderate</v>
      </c>
    </row>
    <row r="282" spans="1:7" x14ac:dyDescent="0.3">
      <c r="A282">
        <v>4702921684</v>
      </c>
      <c r="B282" s="1">
        <v>42462</v>
      </c>
      <c r="C282" s="1" t="str">
        <f t="shared" si="8"/>
        <v>Saturday</v>
      </c>
      <c r="D282" s="7">
        <v>10328</v>
      </c>
      <c r="E282" s="5">
        <v>8.3800001144409197</v>
      </c>
      <c r="F282" s="7">
        <v>3323</v>
      </c>
      <c r="G282" s="11" t="str">
        <f t="shared" si="9"/>
        <v>High</v>
      </c>
    </row>
    <row r="283" spans="1:7" x14ac:dyDescent="0.3">
      <c r="A283">
        <v>4702921684</v>
      </c>
      <c r="B283" s="1">
        <v>42463</v>
      </c>
      <c r="C283" s="1" t="str">
        <f t="shared" si="8"/>
        <v>Sunday</v>
      </c>
      <c r="D283" s="7">
        <v>12116</v>
      </c>
      <c r="E283" s="5">
        <v>9.8299999237060494</v>
      </c>
      <c r="F283" s="7">
        <v>3357</v>
      </c>
      <c r="G283" s="11" t="str">
        <f t="shared" si="9"/>
        <v>High</v>
      </c>
    </row>
    <row r="284" spans="1:7" x14ac:dyDescent="0.3">
      <c r="A284">
        <v>4702921684</v>
      </c>
      <c r="B284" s="1">
        <v>42464</v>
      </c>
      <c r="C284" s="1" t="str">
        <f t="shared" si="8"/>
        <v>Monday</v>
      </c>
      <c r="D284" s="7">
        <v>7810</v>
      </c>
      <c r="E284" s="5">
        <v>6.3600001335143999</v>
      </c>
      <c r="F284" s="7">
        <v>2931</v>
      </c>
      <c r="G284" s="11" t="str">
        <f t="shared" si="9"/>
        <v>Moderate</v>
      </c>
    </row>
    <row r="285" spans="1:7" x14ac:dyDescent="0.3">
      <c r="A285">
        <v>4702921684</v>
      </c>
      <c r="B285" s="1">
        <v>42465</v>
      </c>
      <c r="C285" s="1" t="str">
        <f t="shared" si="8"/>
        <v>Tuesday</v>
      </c>
      <c r="D285" s="7">
        <v>6670</v>
      </c>
      <c r="E285" s="5">
        <v>5.4099998474121103</v>
      </c>
      <c r="F285" s="7">
        <v>2848</v>
      </c>
      <c r="G285" s="11" t="str">
        <f t="shared" si="9"/>
        <v>Moderate</v>
      </c>
    </row>
    <row r="286" spans="1:7" x14ac:dyDescent="0.3">
      <c r="A286">
        <v>4702921684</v>
      </c>
      <c r="B286" s="1">
        <v>42466</v>
      </c>
      <c r="C286" s="1" t="str">
        <f t="shared" si="8"/>
        <v>Wednesday</v>
      </c>
      <c r="D286" s="7">
        <v>7605</v>
      </c>
      <c r="E286" s="5">
        <v>6.1799998283386204</v>
      </c>
      <c r="F286" s="7">
        <v>2943</v>
      </c>
      <c r="G286" s="11" t="str">
        <f t="shared" si="9"/>
        <v>Moderate</v>
      </c>
    </row>
    <row r="287" spans="1:7" x14ac:dyDescent="0.3">
      <c r="A287">
        <v>4702921684</v>
      </c>
      <c r="B287" s="1">
        <v>42467</v>
      </c>
      <c r="C287" s="1" t="str">
        <f t="shared" si="8"/>
        <v>Thursday</v>
      </c>
      <c r="D287" s="7">
        <v>6585</v>
      </c>
      <c r="E287" s="5">
        <v>5.3400001525878897</v>
      </c>
      <c r="F287" s="7">
        <v>2822</v>
      </c>
      <c r="G287" s="11" t="str">
        <f t="shared" si="9"/>
        <v>Moderate</v>
      </c>
    </row>
    <row r="288" spans="1:7" x14ac:dyDescent="0.3">
      <c r="A288">
        <v>4702921684</v>
      </c>
      <c r="B288" s="1">
        <v>42468</v>
      </c>
      <c r="C288" s="1" t="str">
        <f t="shared" si="8"/>
        <v>Friday</v>
      </c>
      <c r="D288" s="7">
        <v>8184</v>
      </c>
      <c r="E288" s="5">
        <v>6.6399998664856001</v>
      </c>
      <c r="F288" s="7">
        <v>2981</v>
      </c>
      <c r="G288" s="11" t="str">
        <f t="shared" si="9"/>
        <v>Moderate</v>
      </c>
    </row>
    <row r="289" spans="1:7" x14ac:dyDescent="0.3">
      <c r="A289">
        <v>4702921684</v>
      </c>
      <c r="B289" s="1">
        <v>42469</v>
      </c>
      <c r="C289" s="1" t="str">
        <f t="shared" si="8"/>
        <v>Saturday</v>
      </c>
      <c r="D289" s="7">
        <v>14002</v>
      </c>
      <c r="E289" s="5">
        <v>11.3599996566772</v>
      </c>
      <c r="F289" s="7">
        <v>3597</v>
      </c>
      <c r="G289" s="11" t="str">
        <f t="shared" si="9"/>
        <v>High</v>
      </c>
    </row>
    <row r="290" spans="1:7" x14ac:dyDescent="0.3">
      <c r="A290">
        <v>4702921684</v>
      </c>
      <c r="B290" s="1">
        <v>42470</v>
      </c>
      <c r="C290" s="1" t="str">
        <f t="shared" si="8"/>
        <v>Sunday</v>
      </c>
      <c r="D290" s="7">
        <v>11135</v>
      </c>
      <c r="E290" s="5">
        <v>9.0299997329711896</v>
      </c>
      <c r="F290" s="7">
        <v>3224</v>
      </c>
      <c r="G290" s="11" t="str">
        <f t="shared" si="9"/>
        <v>High</v>
      </c>
    </row>
    <row r="291" spans="1:7" x14ac:dyDescent="0.3">
      <c r="A291">
        <v>4702921684</v>
      </c>
      <c r="B291" s="1">
        <v>42471</v>
      </c>
      <c r="C291" s="1" t="str">
        <f t="shared" si="8"/>
        <v>Monday</v>
      </c>
      <c r="D291" s="7">
        <v>6499</v>
      </c>
      <c r="E291" s="5">
        <v>5.2699999809265101</v>
      </c>
      <c r="F291" s="7">
        <v>2677</v>
      </c>
      <c r="G291" s="11" t="str">
        <f t="shared" si="9"/>
        <v>Moderate</v>
      </c>
    </row>
    <row r="292" spans="1:7" x14ac:dyDescent="0.3">
      <c r="A292">
        <v>4702921684</v>
      </c>
      <c r="B292" s="1">
        <v>42472</v>
      </c>
      <c r="C292" s="1" t="str">
        <f t="shared" si="8"/>
        <v>Tuesday</v>
      </c>
      <c r="D292" s="7">
        <v>0</v>
      </c>
      <c r="E292" s="5">
        <v>0</v>
      </c>
      <c r="F292" s="7">
        <v>0</v>
      </c>
      <c r="G292" s="11" t="str">
        <f t="shared" si="9"/>
        <v>Low</v>
      </c>
    </row>
    <row r="293" spans="1:7" x14ac:dyDescent="0.3">
      <c r="A293">
        <v>5553957443</v>
      </c>
      <c r="B293" s="1">
        <v>42461</v>
      </c>
      <c r="C293" s="1" t="str">
        <f t="shared" si="8"/>
        <v>Friday</v>
      </c>
      <c r="D293" s="7">
        <v>12409</v>
      </c>
      <c r="E293" s="5">
        <v>8.1000003814697301</v>
      </c>
      <c r="F293" s="7">
        <v>2142</v>
      </c>
      <c r="G293" s="11" t="str">
        <f t="shared" si="9"/>
        <v>High</v>
      </c>
    </row>
    <row r="294" spans="1:7" x14ac:dyDescent="0.3">
      <c r="A294">
        <v>5553957443</v>
      </c>
      <c r="B294" s="1">
        <v>42462</v>
      </c>
      <c r="C294" s="1" t="str">
        <f t="shared" si="8"/>
        <v>Saturday</v>
      </c>
      <c r="D294" s="7">
        <v>2937</v>
      </c>
      <c r="E294" s="5">
        <v>1.91999995708466</v>
      </c>
      <c r="F294" s="7">
        <v>1615</v>
      </c>
      <c r="G294" s="11" t="str">
        <f t="shared" si="9"/>
        <v>Low</v>
      </c>
    </row>
    <row r="295" spans="1:7" x14ac:dyDescent="0.3">
      <c r="A295">
        <v>5553957443</v>
      </c>
      <c r="B295" s="1">
        <v>42463</v>
      </c>
      <c r="C295" s="1" t="str">
        <f t="shared" si="8"/>
        <v>Sunday</v>
      </c>
      <c r="D295" s="7">
        <v>1515</v>
      </c>
      <c r="E295" s="5">
        <v>0.99000000953674305</v>
      </c>
      <c r="F295" s="7">
        <v>1481</v>
      </c>
      <c r="G295" s="11" t="str">
        <f t="shared" si="9"/>
        <v>Low</v>
      </c>
    </row>
    <row r="296" spans="1:7" x14ac:dyDescent="0.3">
      <c r="A296">
        <v>5553957443</v>
      </c>
      <c r="B296" s="1">
        <v>42464</v>
      </c>
      <c r="C296" s="1" t="str">
        <f t="shared" si="8"/>
        <v>Monday</v>
      </c>
      <c r="D296" s="7">
        <v>8921</v>
      </c>
      <c r="E296" s="5">
        <v>5.8800001144409197</v>
      </c>
      <c r="F296" s="7">
        <v>1892</v>
      </c>
      <c r="G296" s="11" t="str">
        <f t="shared" si="9"/>
        <v>Moderate</v>
      </c>
    </row>
    <row r="297" spans="1:7" x14ac:dyDescent="0.3">
      <c r="A297">
        <v>5553957443</v>
      </c>
      <c r="B297" s="1">
        <v>42465</v>
      </c>
      <c r="C297" s="1" t="str">
        <f t="shared" si="8"/>
        <v>Tuesday</v>
      </c>
      <c r="D297" s="7">
        <v>11306</v>
      </c>
      <c r="E297" s="5">
        <v>7.3800001144409197</v>
      </c>
      <c r="F297" s="7">
        <v>2086</v>
      </c>
      <c r="G297" s="11" t="str">
        <f t="shared" si="9"/>
        <v>High</v>
      </c>
    </row>
    <row r="298" spans="1:7" x14ac:dyDescent="0.3">
      <c r="A298">
        <v>5553957443</v>
      </c>
      <c r="B298" s="1">
        <v>42466</v>
      </c>
      <c r="C298" s="1" t="str">
        <f t="shared" si="8"/>
        <v>Wednesday</v>
      </c>
      <c r="D298" s="7">
        <v>12252</v>
      </c>
      <c r="E298" s="5">
        <v>8</v>
      </c>
      <c r="F298" s="7">
        <v>2044</v>
      </c>
      <c r="G298" s="11" t="str">
        <f t="shared" si="9"/>
        <v>High</v>
      </c>
    </row>
    <row r="299" spans="1:7" x14ac:dyDescent="0.3">
      <c r="A299">
        <v>5553957443</v>
      </c>
      <c r="B299" s="1">
        <v>42467</v>
      </c>
      <c r="C299" s="1" t="str">
        <f t="shared" si="8"/>
        <v>Thursday</v>
      </c>
      <c r="D299" s="7">
        <v>15444</v>
      </c>
      <c r="E299" s="5">
        <v>10.079999923706101</v>
      </c>
      <c r="F299" s="7">
        <v>2249</v>
      </c>
      <c r="G299" s="11" t="str">
        <f t="shared" si="9"/>
        <v>High</v>
      </c>
    </row>
    <row r="300" spans="1:7" x14ac:dyDescent="0.3">
      <c r="A300">
        <v>5553957443</v>
      </c>
      <c r="B300" s="1">
        <v>42468</v>
      </c>
      <c r="C300" s="1" t="str">
        <f t="shared" si="8"/>
        <v>Friday</v>
      </c>
      <c r="D300" s="7">
        <v>9938</v>
      </c>
      <c r="E300" s="5">
        <v>6.4899997711181596</v>
      </c>
      <c r="F300" s="7">
        <v>2019</v>
      </c>
      <c r="G300" s="11" t="str">
        <f t="shared" si="9"/>
        <v>Moderate</v>
      </c>
    </row>
    <row r="301" spans="1:7" x14ac:dyDescent="0.3">
      <c r="A301">
        <v>5553957443</v>
      </c>
      <c r="B301" s="1">
        <v>42469</v>
      </c>
      <c r="C301" s="1" t="str">
        <f t="shared" si="8"/>
        <v>Saturday</v>
      </c>
      <c r="D301" s="7">
        <v>4599</v>
      </c>
      <c r="E301" s="5">
        <v>3</v>
      </c>
      <c r="F301" s="7">
        <v>1692</v>
      </c>
      <c r="G301" s="11" t="str">
        <f t="shared" si="9"/>
        <v>Low</v>
      </c>
    </row>
    <row r="302" spans="1:7" x14ac:dyDescent="0.3">
      <c r="A302">
        <v>5553957443</v>
      </c>
      <c r="B302" s="1">
        <v>42470</v>
      </c>
      <c r="C302" s="1" t="str">
        <f t="shared" si="8"/>
        <v>Sunday</v>
      </c>
      <c r="D302" s="7">
        <v>5594</v>
      </c>
      <c r="E302" s="5">
        <v>3.6500000953674299</v>
      </c>
      <c r="F302" s="7">
        <v>1712</v>
      </c>
      <c r="G302" s="11" t="str">
        <f t="shared" si="9"/>
        <v>Moderate</v>
      </c>
    </row>
    <row r="303" spans="1:7" x14ac:dyDescent="0.3">
      <c r="A303">
        <v>5553957443</v>
      </c>
      <c r="B303" s="1">
        <v>42471</v>
      </c>
      <c r="C303" s="1" t="str">
        <f t="shared" si="8"/>
        <v>Monday</v>
      </c>
      <c r="D303" s="7">
        <v>11906</v>
      </c>
      <c r="E303" s="5">
        <v>7.7699999809265101</v>
      </c>
      <c r="F303" s="7">
        <v>2065</v>
      </c>
      <c r="G303" s="11" t="str">
        <f t="shared" si="9"/>
        <v>High</v>
      </c>
    </row>
    <row r="304" spans="1:7" x14ac:dyDescent="0.3">
      <c r="A304">
        <v>5553957443</v>
      </c>
      <c r="B304" s="1">
        <v>42472</v>
      </c>
      <c r="C304" s="1" t="str">
        <f t="shared" si="8"/>
        <v>Tuesday</v>
      </c>
      <c r="D304" s="7">
        <v>3436</v>
      </c>
      <c r="E304" s="5">
        <v>2.2400000095367401</v>
      </c>
      <c r="F304" s="7">
        <v>633</v>
      </c>
      <c r="G304" s="11" t="str">
        <f t="shared" si="9"/>
        <v>Low</v>
      </c>
    </row>
    <row r="305" spans="1:7" x14ac:dyDescent="0.3">
      <c r="A305">
        <v>5577150313</v>
      </c>
      <c r="B305" s="1">
        <v>42461</v>
      </c>
      <c r="C305" s="1" t="str">
        <f t="shared" si="8"/>
        <v>Friday</v>
      </c>
      <c r="D305" s="7">
        <v>10461</v>
      </c>
      <c r="E305" s="5">
        <v>7.8699998855590803</v>
      </c>
      <c r="F305" s="7">
        <v>3625</v>
      </c>
      <c r="G305" s="11" t="str">
        <f t="shared" si="9"/>
        <v>High</v>
      </c>
    </row>
    <row r="306" spans="1:7" x14ac:dyDescent="0.3">
      <c r="A306">
        <v>5577150313</v>
      </c>
      <c r="B306" s="1">
        <v>42462</v>
      </c>
      <c r="C306" s="1" t="str">
        <f t="shared" si="8"/>
        <v>Saturday</v>
      </c>
      <c r="D306" s="7">
        <v>14873</v>
      </c>
      <c r="E306" s="5">
        <v>11.1099996566772</v>
      </c>
      <c r="F306" s="7">
        <v>4430</v>
      </c>
      <c r="G306" s="11" t="str">
        <f t="shared" si="9"/>
        <v>High</v>
      </c>
    </row>
    <row r="307" spans="1:7" x14ac:dyDescent="0.3">
      <c r="A307">
        <v>5577150313</v>
      </c>
      <c r="B307" s="1">
        <v>42463</v>
      </c>
      <c r="C307" s="1" t="str">
        <f t="shared" si="8"/>
        <v>Sunday</v>
      </c>
      <c r="D307" s="7">
        <v>9917</v>
      </c>
      <c r="E307" s="5">
        <v>7.4099998474121103</v>
      </c>
      <c r="F307" s="7">
        <v>3427</v>
      </c>
      <c r="G307" s="11" t="str">
        <f t="shared" si="9"/>
        <v>Moderate</v>
      </c>
    </row>
    <row r="308" spans="1:7" x14ac:dyDescent="0.3">
      <c r="A308">
        <v>5577150313</v>
      </c>
      <c r="B308" s="1">
        <v>42464</v>
      </c>
      <c r="C308" s="1" t="str">
        <f t="shared" si="8"/>
        <v>Monday</v>
      </c>
      <c r="D308" s="7">
        <v>7401</v>
      </c>
      <c r="E308" s="5">
        <v>5.5599999427795401</v>
      </c>
      <c r="F308" s="7">
        <v>3492</v>
      </c>
      <c r="G308" s="11" t="str">
        <f t="shared" si="9"/>
        <v>Moderate</v>
      </c>
    </row>
    <row r="309" spans="1:7" x14ac:dyDescent="0.3">
      <c r="A309">
        <v>5577150313</v>
      </c>
      <c r="B309" s="1">
        <v>42465</v>
      </c>
      <c r="C309" s="1" t="str">
        <f t="shared" si="8"/>
        <v>Tuesday</v>
      </c>
      <c r="D309" s="7">
        <v>8964</v>
      </c>
      <c r="E309" s="5">
        <v>6.6999998092651403</v>
      </c>
      <c r="F309" s="7">
        <v>3597</v>
      </c>
      <c r="G309" s="11" t="str">
        <f t="shared" si="9"/>
        <v>Moderate</v>
      </c>
    </row>
    <row r="310" spans="1:7" x14ac:dyDescent="0.3">
      <c r="A310">
        <v>5577150313</v>
      </c>
      <c r="B310" s="1">
        <v>42466</v>
      </c>
      <c r="C310" s="1" t="str">
        <f t="shared" si="8"/>
        <v>Wednesday</v>
      </c>
      <c r="D310" s="7">
        <v>11080</v>
      </c>
      <c r="E310" s="5">
        <v>8.3000001907348597</v>
      </c>
      <c r="F310" s="7">
        <v>3765</v>
      </c>
      <c r="G310" s="11" t="str">
        <f t="shared" si="9"/>
        <v>High</v>
      </c>
    </row>
    <row r="311" spans="1:7" x14ac:dyDescent="0.3">
      <c r="A311">
        <v>5577150313</v>
      </c>
      <c r="B311" s="1">
        <v>42467</v>
      </c>
      <c r="C311" s="1" t="str">
        <f t="shared" si="8"/>
        <v>Thursday</v>
      </c>
      <c r="D311" s="7">
        <v>4499</v>
      </c>
      <c r="E311" s="5">
        <v>3.3599998950958301</v>
      </c>
      <c r="F311" s="7">
        <v>2775</v>
      </c>
      <c r="G311" s="11" t="str">
        <f t="shared" si="9"/>
        <v>Low</v>
      </c>
    </row>
    <row r="312" spans="1:7" x14ac:dyDescent="0.3">
      <c r="A312">
        <v>5577150313</v>
      </c>
      <c r="B312" s="1">
        <v>42468</v>
      </c>
      <c r="C312" s="1" t="str">
        <f t="shared" si="8"/>
        <v>Friday</v>
      </c>
      <c r="D312" s="7">
        <v>4363</v>
      </c>
      <c r="E312" s="5">
        <v>3.2599999904632599</v>
      </c>
      <c r="F312" s="7">
        <v>2486</v>
      </c>
      <c r="G312" s="11" t="str">
        <f t="shared" si="9"/>
        <v>Low</v>
      </c>
    </row>
    <row r="313" spans="1:7" x14ac:dyDescent="0.3">
      <c r="A313">
        <v>5577150313</v>
      </c>
      <c r="B313" s="1">
        <v>42469</v>
      </c>
      <c r="C313" s="1" t="str">
        <f t="shared" si="8"/>
        <v>Saturday</v>
      </c>
      <c r="D313" s="7">
        <v>10494</v>
      </c>
      <c r="E313" s="5">
        <v>7.8400001525878897</v>
      </c>
      <c r="F313" s="7">
        <v>3817</v>
      </c>
      <c r="G313" s="11" t="str">
        <f t="shared" si="9"/>
        <v>High</v>
      </c>
    </row>
    <row r="314" spans="1:7" x14ac:dyDescent="0.3">
      <c r="A314">
        <v>5577150313</v>
      </c>
      <c r="B314" s="1">
        <v>42470</v>
      </c>
      <c r="C314" s="1" t="str">
        <f t="shared" si="8"/>
        <v>Sunday</v>
      </c>
      <c r="D314" s="7">
        <v>9776</v>
      </c>
      <c r="E314" s="5">
        <v>7.3800001144409197</v>
      </c>
      <c r="F314" s="7">
        <v>3378</v>
      </c>
      <c r="G314" s="11" t="str">
        <f t="shared" si="9"/>
        <v>Moderate</v>
      </c>
    </row>
    <row r="315" spans="1:7" x14ac:dyDescent="0.3">
      <c r="A315">
        <v>5577150313</v>
      </c>
      <c r="B315" s="1">
        <v>42471</v>
      </c>
      <c r="C315" s="1" t="str">
        <f t="shared" si="8"/>
        <v>Monday</v>
      </c>
      <c r="D315" s="7">
        <v>2862</v>
      </c>
      <c r="E315" s="5">
        <v>2.1400001049041699</v>
      </c>
      <c r="F315" s="7">
        <v>1511</v>
      </c>
      <c r="G315" s="11" t="str">
        <f t="shared" si="9"/>
        <v>Low</v>
      </c>
    </row>
    <row r="316" spans="1:7" x14ac:dyDescent="0.3">
      <c r="A316">
        <v>6117666160</v>
      </c>
      <c r="B316" s="1">
        <v>42461</v>
      </c>
      <c r="C316" s="1" t="str">
        <f t="shared" si="8"/>
        <v>Friday</v>
      </c>
      <c r="D316" s="7">
        <v>7444</v>
      </c>
      <c r="E316" s="5">
        <v>5.6199998855590803</v>
      </c>
      <c r="F316" s="7">
        <v>2210</v>
      </c>
      <c r="G316" s="11" t="str">
        <f t="shared" si="9"/>
        <v>Moderate</v>
      </c>
    </row>
    <row r="317" spans="1:7" x14ac:dyDescent="0.3">
      <c r="A317">
        <v>6117666160</v>
      </c>
      <c r="B317" s="1">
        <v>42462</v>
      </c>
      <c r="C317" s="1" t="str">
        <f t="shared" si="8"/>
        <v>Saturday</v>
      </c>
      <c r="D317" s="7">
        <v>19658</v>
      </c>
      <c r="E317" s="5">
        <v>14.8400001525879</v>
      </c>
      <c r="F317" s="7">
        <v>2884</v>
      </c>
      <c r="G317" s="11" t="str">
        <f t="shared" si="9"/>
        <v>High</v>
      </c>
    </row>
    <row r="318" spans="1:7" x14ac:dyDescent="0.3">
      <c r="A318">
        <v>6117666160</v>
      </c>
      <c r="B318" s="1">
        <v>42463</v>
      </c>
      <c r="C318" s="1" t="str">
        <f t="shared" si="8"/>
        <v>Sunday</v>
      </c>
      <c r="D318" s="7">
        <v>0</v>
      </c>
      <c r="E318" s="5">
        <v>0</v>
      </c>
      <c r="F318" s="7">
        <v>1496</v>
      </c>
      <c r="G318" s="11" t="str">
        <f t="shared" si="9"/>
        <v>Low</v>
      </c>
    </row>
    <row r="319" spans="1:7" x14ac:dyDescent="0.3">
      <c r="A319">
        <v>6117666160</v>
      </c>
      <c r="B319" s="1">
        <v>42464</v>
      </c>
      <c r="C319" s="1" t="str">
        <f t="shared" si="8"/>
        <v>Monday</v>
      </c>
      <c r="D319" s="7">
        <v>8468</v>
      </c>
      <c r="E319" s="5">
        <v>6.3899998664856001</v>
      </c>
      <c r="F319" s="7">
        <v>2262</v>
      </c>
      <c r="G319" s="11" t="str">
        <f t="shared" si="9"/>
        <v>Moderate</v>
      </c>
    </row>
    <row r="320" spans="1:7" x14ac:dyDescent="0.3">
      <c r="A320">
        <v>6117666160</v>
      </c>
      <c r="B320" s="1">
        <v>42465</v>
      </c>
      <c r="C320" s="1" t="str">
        <f t="shared" si="8"/>
        <v>Tuesday</v>
      </c>
      <c r="D320" s="7">
        <v>9910</v>
      </c>
      <c r="E320" s="5">
        <v>7.4800000190734899</v>
      </c>
      <c r="F320" s="7">
        <v>2445</v>
      </c>
      <c r="G320" s="11" t="str">
        <f t="shared" si="9"/>
        <v>Moderate</v>
      </c>
    </row>
    <row r="321" spans="1:7" x14ac:dyDescent="0.3">
      <c r="A321">
        <v>6117666160</v>
      </c>
      <c r="B321" s="1">
        <v>42466</v>
      </c>
      <c r="C321" s="1" t="str">
        <f t="shared" si="8"/>
        <v>Wednesday</v>
      </c>
      <c r="D321" s="7">
        <v>12409</v>
      </c>
      <c r="E321" s="5">
        <v>9.3699998855590803</v>
      </c>
      <c r="F321" s="7">
        <v>2694</v>
      </c>
      <c r="G321" s="11" t="str">
        <f t="shared" si="9"/>
        <v>High</v>
      </c>
    </row>
    <row r="322" spans="1:7" x14ac:dyDescent="0.3">
      <c r="A322">
        <v>6117666160</v>
      </c>
      <c r="B322" s="1">
        <v>42467</v>
      </c>
      <c r="C322" s="1" t="str">
        <f t="shared" si="8"/>
        <v>Thursday</v>
      </c>
      <c r="D322" s="7">
        <v>4853</v>
      </c>
      <c r="E322" s="5">
        <v>3.6600000858306898</v>
      </c>
      <c r="F322" s="7">
        <v>1903</v>
      </c>
      <c r="G322" s="11" t="str">
        <f t="shared" si="9"/>
        <v>Low</v>
      </c>
    </row>
    <row r="323" spans="1:7" x14ac:dyDescent="0.3">
      <c r="A323">
        <v>6117666160</v>
      </c>
      <c r="B323" s="1">
        <v>42468</v>
      </c>
      <c r="C323" s="1" t="str">
        <f t="shared" ref="C323:C386" si="10">TEXT(B323,"dddd")</f>
        <v>Friday</v>
      </c>
      <c r="D323" s="7">
        <v>8955</v>
      </c>
      <c r="E323" s="5">
        <v>6.7600002288818404</v>
      </c>
      <c r="F323" s="7">
        <v>2482</v>
      </c>
      <c r="G323" s="11" t="str">
        <f t="shared" ref="G323:G386" si="11">IF(D323&lt;5000,"Low",IF(D323&lt;=10000,"Moderate","High"))</f>
        <v>Moderate</v>
      </c>
    </row>
    <row r="324" spans="1:7" x14ac:dyDescent="0.3">
      <c r="A324">
        <v>6117666160</v>
      </c>
      <c r="B324" s="1">
        <v>42469</v>
      </c>
      <c r="C324" s="1" t="str">
        <f t="shared" si="10"/>
        <v>Saturday</v>
      </c>
      <c r="D324" s="7">
        <v>10789</v>
      </c>
      <c r="E324" s="5">
        <v>8.1499996185302699</v>
      </c>
      <c r="F324" s="7">
        <v>2617</v>
      </c>
      <c r="G324" s="11" t="str">
        <f t="shared" si="11"/>
        <v>High</v>
      </c>
    </row>
    <row r="325" spans="1:7" x14ac:dyDescent="0.3">
      <c r="A325">
        <v>6117666160</v>
      </c>
      <c r="B325" s="1">
        <v>42470</v>
      </c>
      <c r="C325" s="1" t="str">
        <f t="shared" si="10"/>
        <v>Sunday</v>
      </c>
      <c r="D325" s="7">
        <v>0</v>
      </c>
      <c r="E325" s="5">
        <v>0</v>
      </c>
      <c r="F325" s="7">
        <v>0</v>
      </c>
      <c r="G325" s="11" t="str">
        <f t="shared" si="11"/>
        <v>Low</v>
      </c>
    </row>
    <row r="326" spans="1:7" x14ac:dyDescent="0.3">
      <c r="A326">
        <v>6290855005</v>
      </c>
      <c r="B326" s="1">
        <v>42461</v>
      </c>
      <c r="C326" s="1" t="str">
        <f t="shared" si="10"/>
        <v>Friday</v>
      </c>
      <c r="D326" s="7">
        <v>6633</v>
      </c>
      <c r="E326" s="5">
        <v>5.0100002288818404</v>
      </c>
      <c r="F326" s="7">
        <v>2778</v>
      </c>
      <c r="G326" s="11" t="str">
        <f t="shared" si="11"/>
        <v>Moderate</v>
      </c>
    </row>
    <row r="327" spans="1:7" x14ac:dyDescent="0.3">
      <c r="A327">
        <v>6290855005</v>
      </c>
      <c r="B327" s="1">
        <v>42462</v>
      </c>
      <c r="C327" s="1" t="str">
        <f t="shared" si="10"/>
        <v>Saturday</v>
      </c>
      <c r="D327" s="7">
        <v>9548</v>
      </c>
      <c r="E327" s="5">
        <v>7.2199997901916504</v>
      </c>
      <c r="F327" s="7">
        <v>3119</v>
      </c>
      <c r="G327" s="11" t="str">
        <f t="shared" si="11"/>
        <v>Moderate</v>
      </c>
    </row>
    <row r="328" spans="1:7" x14ac:dyDescent="0.3">
      <c r="A328">
        <v>6290855005</v>
      </c>
      <c r="B328" s="1">
        <v>42463</v>
      </c>
      <c r="C328" s="1" t="str">
        <f t="shared" si="10"/>
        <v>Sunday</v>
      </c>
      <c r="D328" s="7">
        <v>0</v>
      </c>
      <c r="E328" s="5">
        <v>0</v>
      </c>
      <c r="F328" s="7">
        <v>2664</v>
      </c>
      <c r="G328" s="11" t="str">
        <f t="shared" si="11"/>
        <v>Low</v>
      </c>
    </row>
    <row r="329" spans="1:7" x14ac:dyDescent="0.3">
      <c r="A329">
        <v>6290855005</v>
      </c>
      <c r="B329" s="1">
        <v>42464</v>
      </c>
      <c r="C329" s="1" t="str">
        <f t="shared" si="10"/>
        <v>Monday</v>
      </c>
      <c r="D329" s="7">
        <v>0</v>
      </c>
      <c r="E329" s="5">
        <v>0</v>
      </c>
      <c r="F329" s="7">
        <v>2060</v>
      </c>
      <c r="G329" s="11" t="str">
        <f t="shared" si="11"/>
        <v>Low</v>
      </c>
    </row>
    <row r="330" spans="1:7" x14ac:dyDescent="0.3">
      <c r="A330">
        <v>6290855005</v>
      </c>
      <c r="B330" s="1">
        <v>42465</v>
      </c>
      <c r="C330" s="1" t="str">
        <f t="shared" si="10"/>
        <v>Tuesday</v>
      </c>
      <c r="D330" s="7">
        <v>0</v>
      </c>
      <c r="E330" s="5">
        <v>0</v>
      </c>
      <c r="F330" s="7">
        <v>2060</v>
      </c>
      <c r="G330" s="11" t="str">
        <f t="shared" si="11"/>
        <v>Low</v>
      </c>
    </row>
    <row r="331" spans="1:7" x14ac:dyDescent="0.3">
      <c r="A331">
        <v>6290855005</v>
      </c>
      <c r="B331" s="1">
        <v>42466</v>
      </c>
      <c r="C331" s="1" t="str">
        <f t="shared" si="10"/>
        <v>Wednesday</v>
      </c>
      <c r="D331" s="7">
        <v>0</v>
      </c>
      <c r="E331" s="5">
        <v>0</v>
      </c>
      <c r="F331" s="7">
        <v>2060</v>
      </c>
      <c r="G331" s="11" t="str">
        <f t="shared" si="11"/>
        <v>Low</v>
      </c>
    </row>
    <row r="332" spans="1:7" x14ac:dyDescent="0.3">
      <c r="A332">
        <v>6290855005</v>
      </c>
      <c r="B332" s="1">
        <v>42467</v>
      </c>
      <c r="C332" s="1" t="str">
        <f t="shared" si="10"/>
        <v>Thursday</v>
      </c>
      <c r="D332" s="7">
        <v>0</v>
      </c>
      <c r="E332" s="5">
        <v>0</v>
      </c>
      <c r="F332" s="7">
        <v>2060</v>
      </c>
      <c r="G332" s="11" t="str">
        <f t="shared" si="11"/>
        <v>Low</v>
      </c>
    </row>
    <row r="333" spans="1:7" x14ac:dyDescent="0.3">
      <c r="A333">
        <v>6290855005</v>
      </c>
      <c r="B333" s="1">
        <v>42468</v>
      </c>
      <c r="C333" s="1" t="str">
        <f t="shared" si="10"/>
        <v>Friday</v>
      </c>
      <c r="D333" s="7">
        <v>0</v>
      </c>
      <c r="E333" s="5">
        <v>0</v>
      </c>
      <c r="F333" s="7">
        <v>2060</v>
      </c>
      <c r="G333" s="11" t="str">
        <f t="shared" si="11"/>
        <v>Low</v>
      </c>
    </row>
    <row r="334" spans="1:7" x14ac:dyDescent="0.3">
      <c r="A334">
        <v>6290855005</v>
      </c>
      <c r="B334" s="1">
        <v>42469</v>
      </c>
      <c r="C334" s="1" t="str">
        <f t="shared" si="10"/>
        <v>Saturday</v>
      </c>
      <c r="D334" s="7">
        <v>0</v>
      </c>
      <c r="E334" s="5">
        <v>0</v>
      </c>
      <c r="F334" s="7">
        <v>2060</v>
      </c>
      <c r="G334" s="11" t="str">
        <f t="shared" si="11"/>
        <v>Low</v>
      </c>
    </row>
    <row r="335" spans="1:7" x14ac:dyDescent="0.3">
      <c r="A335">
        <v>6290855005</v>
      </c>
      <c r="B335" s="1">
        <v>42470</v>
      </c>
      <c r="C335" s="1" t="str">
        <f t="shared" si="10"/>
        <v>Sunday</v>
      </c>
      <c r="D335" s="7">
        <v>0</v>
      </c>
      <c r="E335" s="5">
        <v>0</v>
      </c>
      <c r="F335" s="7">
        <v>735</v>
      </c>
      <c r="G335" s="11" t="str">
        <f t="shared" si="11"/>
        <v>Low</v>
      </c>
    </row>
    <row r="336" spans="1:7" x14ac:dyDescent="0.3">
      <c r="A336">
        <v>6391747486</v>
      </c>
      <c r="B336" s="1">
        <v>42461</v>
      </c>
      <c r="C336" s="1" t="str">
        <f t="shared" si="10"/>
        <v>Friday</v>
      </c>
      <c r="D336" s="7">
        <v>0</v>
      </c>
      <c r="E336" s="5">
        <v>0</v>
      </c>
      <c r="F336" s="7">
        <v>1820</v>
      </c>
      <c r="G336" s="11" t="str">
        <f t="shared" si="11"/>
        <v>Low</v>
      </c>
    </row>
    <row r="337" spans="1:7" x14ac:dyDescent="0.3">
      <c r="A337">
        <v>6391747486</v>
      </c>
      <c r="B337" s="1">
        <v>42462</v>
      </c>
      <c r="C337" s="1" t="str">
        <f t="shared" si="10"/>
        <v>Saturday</v>
      </c>
      <c r="D337" s="7">
        <v>2101</v>
      </c>
      <c r="E337" s="5">
        <v>2.0299999713897701</v>
      </c>
      <c r="F337" s="7">
        <v>2224</v>
      </c>
      <c r="G337" s="11" t="str">
        <f t="shared" si="11"/>
        <v>Low</v>
      </c>
    </row>
    <row r="338" spans="1:7" x14ac:dyDescent="0.3">
      <c r="A338">
        <v>6391747486</v>
      </c>
      <c r="B338" s="1">
        <v>42463</v>
      </c>
      <c r="C338" s="1" t="str">
        <f t="shared" si="10"/>
        <v>Sunday</v>
      </c>
      <c r="D338" s="7">
        <v>0</v>
      </c>
      <c r="E338" s="5">
        <v>0</v>
      </c>
      <c r="F338" s="7">
        <v>1820</v>
      </c>
      <c r="G338" s="11" t="str">
        <f t="shared" si="11"/>
        <v>Low</v>
      </c>
    </row>
    <row r="339" spans="1:7" x14ac:dyDescent="0.3">
      <c r="A339">
        <v>6391747486</v>
      </c>
      <c r="B339" s="1">
        <v>42464</v>
      </c>
      <c r="C339" s="1" t="str">
        <f t="shared" si="10"/>
        <v>Monday</v>
      </c>
      <c r="D339" s="7">
        <v>0</v>
      </c>
      <c r="E339" s="5">
        <v>0</v>
      </c>
      <c r="F339" s="7">
        <v>1820</v>
      </c>
      <c r="G339" s="11" t="str">
        <f t="shared" si="11"/>
        <v>Low</v>
      </c>
    </row>
    <row r="340" spans="1:7" x14ac:dyDescent="0.3">
      <c r="A340">
        <v>6391747486</v>
      </c>
      <c r="B340" s="1">
        <v>42465</v>
      </c>
      <c r="C340" s="1" t="str">
        <f t="shared" si="10"/>
        <v>Tuesday</v>
      </c>
      <c r="D340" s="7">
        <v>9766</v>
      </c>
      <c r="E340" s="5">
        <v>7.5100002288818404</v>
      </c>
      <c r="F340" s="7">
        <v>2442</v>
      </c>
      <c r="G340" s="11" t="str">
        <f t="shared" si="11"/>
        <v>Moderate</v>
      </c>
    </row>
    <row r="341" spans="1:7" x14ac:dyDescent="0.3">
      <c r="A341">
        <v>6391747486</v>
      </c>
      <c r="B341" s="1">
        <v>42466</v>
      </c>
      <c r="C341" s="1" t="str">
        <f t="shared" si="10"/>
        <v>Wednesday</v>
      </c>
      <c r="D341" s="7">
        <v>165</v>
      </c>
      <c r="E341" s="5">
        <v>0.129999995231628</v>
      </c>
      <c r="F341" s="7">
        <v>1849</v>
      </c>
      <c r="G341" s="11" t="str">
        <f t="shared" si="11"/>
        <v>Low</v>
      </c>
    </row>
    <row r="342" spans="1:7" x14ac:dyDescent="0.3">
      <c r="A342">
        <v>6391747486</v>
      </c>
      <c r="B342" s="1">
        <v>42467</v>
      </c>
      <c r="C342" s="1" t="str">
        <f t="shared" si="10"/>
        <v>Thursday</v>
      </c>
      <c r="D342" s="7">
        <v>0</v>
      </c>
      <c r="E342" s="5">
        <v>0</v>
      </c>
      <c r="F342" s="7">
        <v>1822</v>
      </c>
      <c r="G342" s="11" t="str">
        <f t="shared" si="11"/>
        <v>Low</v>
      </c>
    </row>
    <row r="343" spans="1:7" x14ac:dyDescent="0.3">
      <c r="A343">
        <v>6391747486</v>
      </c>
      <c r="B343" s="1">
        <v>42468</v>
      </c>
      <c r="C343" s="1" t="str">
        <f t="shared" si="10"/>
        <v>Friday</v>
      </c>
      <c r="D343" s="7">
        <v>0</v>
      </c>
      <c r="E343" s="5">
        <v>0</v>
      </c>
      <c r="F343" s="7">
        <v>1820</v>
      </c>
      <c r="G343" s="11" t="str">
        <f t="shared" si="11"/>
        <v>Low</v>
      </c>
    </row>
    <row r="344" spans="1:7" x14ac:dyDescent="0.3">
      <c r="A344">
        <v>6391747486</v>
      </c>
      <c r="B344" s="1">
        <v>42469</v>
      </c>
      <c r="C344" s="1" t="str">
        <f t="shared" si="10"/>
        <v>Saturday</v>
      </c>
      <c r="D344" s="7">
        <v>0</v>
      </c>
      <c r="E344" s="5">
        <v>0</v>
      </c>
      <c r="F344" s="7">
        <v>251</v>
      </c>
      <c r="G344" s="11" t="str">
        <f t="shared" si="11"/>
        <v>Low</v>
      </c>
    </row>
    <row r="345" spans="1:7" x14ac:dyDescent="0.3">
      <c r="A345">
        <v>6775888955</v>
      </c>
      <c r="B345" s="1">
        <v>42461</v>
      </c>
      <c r="C345" s="1" t="str">
        <f t="shared" si="10"/>
        <v>Friday</v>
      </c>
      <c r="D345" s="7">
        <v>7225</v>
      </c>
      <c r="E345" s="5">
        <v>5.1799998283386204</v>
      </c>
      <c r="F345" s="7">
        <v>3065</v>
      </c>
      <c r="G345" s="11" t="str">
        <f t="shared" si="11"/>
        <v>Moderate</v>
      </c>
    </row>
    <row r="346" spans="1:7" x14ac:dyDescent="0.3">
      <c r="A346">
        <v>6775888955</v>
      </c>
      <c r="B346" s="1">
        <v>42462</v>
      </c>
      <c r="C346" s="1" t="str">
        <f t="shared" si="10"/>
        <v>Saturday</v>
      </c>
      <c r="D346" s="7">
        <v>1988</v>
      </c>
      <c r="E346" s="5">
        <v>1.4299999475479099</v>
      </c>
      <c r="F346" s="7">
        <v>2207</v>
      </c>
      <c r="G346" s="11" t="str">
        <f t="shared" si="11"/>
        <v>Low</v>
      </c>
    </row>
    <row r="347" spans="1:7" x14ac:dyDescent="0.3">
      <c r="A347">
        <v>6775888955</v>
      </c>
      <c r="B347" s="1">
        <v>42463</v>
      </c>
      <c r="C347" s="1" t="str">
        <f t="shared" si="10"/>
        <v>Sunday</v>
      </c>
      <c r="D347" s="7">
        <v>1577</v>
      </c>
      <c r="E347" s="5">
        <v>1.12999999523163</v>
      </c>
      <c r="F347" s="7">
        <v>1977</v>
      </c>
      <c r="G347" s="11" t="str">
        <f t="shared" si="11"/>
        <v>Low</v>
      </c>
    </row>
    <row r="348" spans="1:7" x14ac:dyDescent="0.3">
      <c r="A348">
        <v>6775888955</v>
      </c>
      <c r="B348" s="1">
        <v>42464</v>
      </c>
      <c r="C348" s="1" t="str">
        <f t="shared" si="10"/>
        <v>Monday</v>
      </c>
      <c r="D348" s="7">
        <v>0</v>
      </c>
      <c r="E348" s="5">
        <v>0</v>
      </c>
      <c r="F348" s="7">
        <v>1841</v>
      </c>
      <c r="G348" s="11" t="str">
        <f t="shared" si="11"/>
        <v>Low</v>
      </c>
    </row>
    <row r="349" spans="1:7" x14ac:dyDescent="0.3">
      <c r="A349">
        <v>6775888955</v>
      </c>
      <c r="B349" s="1">
        <v>42465</v>
      </c>
      <c r="C349" s="1" t="str">
        <f t="shared" si="10"/>
        <v>Tuesday</v>
      </c>
      <c r="D349" s="7">
        <v>9348</v>
      </c>
      <c r="E349" s="5">
        <v>6.6999998092651403</v>
      </c>
      <c r="F349" s="7">
        <v>4286</v>
      </c>
      <c r="G349" s="11" t="str">
        <f t="shared" si="11"/>
        <v>Moderate</v>
      </c>
    </row>
    <row r="350" spans="1:7" x14ac:dyDescent="0.3">
      <c r="A350">
        <v>6775888955</v>
      </c>
      <c r="B350" s="1">
        <v>42466</v>
      </c>
      <c r="C350" s="1" t="str">
        <f t="shared" si="10"/>
        <v>Wednesday</v>
      </c>
      <c r="D350" s="7">
        <v>11761</v>
      </c>
      <c r="E350" s="5">
        <v>8.4300003051757795</v>
      </c>
      <c r="F350" s="7">
        <v>3920</v>
      </c>
      <c r="G350" s="11" t="str">
        <f t="shared" si="11"/>
        <v>High</v>
      </c>
    </row>
    <row r="351" spans="1:7" x14ac:dyDescent="0.3">
      <c r="A351">
        <v>6775888955</v>
      </c>
      <c r="B351" s="1">
        <v>42467</v>
      </c>
      <c r="C351" s="1" t="str">
        <f t="shared" si="10"/>
        <v>Thursday</v>
      </c>
      <c r="D351" s="7">
        <v>13987</v>
      </c>
      <c r="E351" s="5">
        <v>10.0299997329712</v>
      </c>
      <c r="F351" s="7">
        <v>3856</v>
      </c>
      <c r="G351" s="11" t="str">
        <f t="shared" si="11"/>
        <v>High</v>
      </c>
    </row>
    <row r="352" spans="1:7" x14ac:dyDescent="0.3">
      <c r="A352">
        <v>6775888955</v>
      </c>
      <c r="B352" s="1">
        <v>42468</v>
      </c>
      <c r="C352" s="1" t="str">
        <f t="shared" si="10"/>
        <v>Friday</v>
      </c>
      <c r="D352" s="7">
        <v>4131</v>
      </c>
      <c r="E352" s="5">
        <v>2.96000003814697</v>
      </c>
      <c r="F352" s="7">
        <v>2584</v>
      </c>
      <c r="G352" s="11" t="str">
        <f t="shared" si="11"/>
        <v>Low</v>
      </c>
    </row>
    <row r="353" spans="1:7" x14ac:dyDescent="0.3">
      <c r="A353">
        <v>6775888955</v>
      </c>
      <c r="B353" s="1">
        <v>42469</v>
      </c>
      <c r="C353" s="1" t="str">
        <f t="shared" si="10"/>
        <v>Saturday</v>
      </c>
      <c r="D353" s="7">
        <v>14</v>
      </c>
      <c r="E353" s="5">
        <v>9.9999997764825804E-3</v>
      </c>
      <c r="F353" s="7">
        <v>787</v>
      </c>
      <c r="G353" s="11" t="str">
        <f t="shared" si="11"/>
        <v>Low</v>
      </c>
    </row>
    <row r="354" spans="1:7" x14ac:dyDescent="0.3">
      <c r="A354">
        <v>6962181067</v>
      </c>
      <c r="B354" s="1">
        <v>42459</v>
      </c>
      <c r="C354" s="1" t="str">
        <f t="shared" si="10"/>
        <v>Wednesday</v>
      </c>
      <c r="D354" s="7">
        <v>15491</v>
      </c>
      <c r="E354" s="5">
        <v>10.2399997711182</v>
      </c>
      <c r="F354" s="7">
        <v>2244</v>
      </c>
      <c r="G354" s="11" t="str">
        <f t="shared" si="11"/>
        <v>High</v>
      </c>
    </row>
    <row r="355" spans="1:7" x14ac:dyDescent="0.3">
      <c r="A355">
        <v>6962181067</v>
      </c>
      <c r="B355" s="1">
        <v>42460</v>
      </c>
      <c r="C355" s="1" t="str">
        <f t="shared" si="10"/>
        <v>Thursday</v>
      </c>
      <c r="D355" s="7">
        <v>14097</v>
      </c>
      <c r="E355" s="5">
        <v>9.3199996948242205</v>
      </c>
      <c r="F355" s="7">
        <v>2188</v>
      </c>
      <c r="G355" s="11" t="str">
        <f t="shared" si="11"/>
        <v>High</v>
      </c>
    </row>
    <row r="356" spans="1:7" x14ac:dyDescent="0.3">
      <c r="A356">
        <v>6962181067</v>
      </c>
      <c r="B356" s="1">
        <v>42461</v>
      </c>
      <c r="C356" s="1" t="str">
        <f t="shared" si="10"/>
        <v>Friday</v>
      </c>
      <c r="D356" s="7">
        <v>10467</v>
      </c>
      <c r="E356" s="5">
        <v>6.9800000190734899</v>
      </c>
      <c r="F356" s="7">
        <v>2014</v>
      </c>
      <c r="G356" s="11" t="str">
        <f t="shared" si="11"/>
        <v>High</v>
      </c>
    </row>
    <row r="357" spans="1:7" x14ac:dyDescent="0.3">
      <c r="A357">
        <v>6962181067</v>
      </c>
      <c r="B357" s="1">
        <v>42462</v>
      </c>
      <c r="C357" s="1" t="str">
        <f t="shared" si="10"/>
        <v>Saturday</v>
      </c>
      <c r="D357" s="7">
        <v>12437</v>
      </c>
      <c r="E357" s="5">
        <v>8.3000001907348597</v>
      </c>
      <c r="F357" s="7">
        <v>2115</v>
      </c>
      <c r="G357" s="11" t="str">
        <f t="shared" si="11"/>
        <v>High</v>
      </c>
    </row>
    <row r="358" spans="1:7" x14ac:dyDescent="0.3">
      <c r="A358">
        <v>6962181067</v>
      </c>
      <c r="B358" s="1">
        <v>42463</v>
      </c>
      <c r="C358" s="1" t="str">
        <f t="shared" si="10"/>
        <v>Sunday</v>
      </c>
      <c r="D358" s="7">
        <v>12307</v>
      </c>
      <c r="E358" s="5">
        <v>8.1400003433227504</v>
      </c>
      <c r="F358" s="7">
        <v>2055</v>
      </c>
      <c r="G358" s="11" t="str">
        <f t="shared" si="11"/>
        <v>High</v>
      </c>
    </row>
    <row r="359" spans="1:7" x14ac:dyDescent="0.3">
      <c r="A359">
        <v>6962181067</v>
      </c>
      <c r="B359" s="1">
        <v>42464</v>
      </c>
      <c r="C359" s="1" t="str">
        <f t="shared" si="10"/>
        <v>Monday</v>
      </c>
      <c r="D359" s="7">
        <v>18952</v>
      </c>
      <c r="E359" s="5">
        <v>12.800000190734901</v>
      </c>
      <c r="F359" s="7">
        <v>2437</v>
      </c>
      <c r="G359" s="11" t="str">
        <f t="shared" si="11"/>
        <v>High</v>
      </c>
    </row>
    <row r="360" spans="1:7" x14ac:dyDescent="0.3">
      <c r="A360">
        <v>6962181067</v>
      </c>
      <c r="B360" s="1">
        <v>42465</v>
      </c>
      <c r="C360" s="1" t="str">
        <f t="shared" si="10"/>
        <v>Tuesday</v>
      </c>
      <c r="D360" s="7">
        <v>12010</v>
      </c>
      <c r="E360" s="5">
        <v>7.9400000572204599</v>
      </c>
      <c r="F360" s="7">
        <v>2158</v>
      </c>
      <c r="G360" s="11" t="str">
        <f t="shared" si="11"/>
        <v>High</v>
      </c>
    </row>
    <row r="361" spans="1:7" x14ac:dyDescent="0.3">
      <c r="A361">
        <v>6962181067</v>
      </c>
      <c r="B361" s="1">
        <v>42466</v>
      </c>
      <c r="C361" s="1" t="str">
        <f t="shared" si="10"/>
        <v>Wednesday</v>
      </c>
      <c r="D361" s="7">
        <v>12480</v>
      </c>
      <c r="E361" s="5">
        <v>8.8599996566772496</v>
      </c>
      <c r="F361" s="7">
        <v>2170</v>
      </c>
      <c r="G361" s="11" t="str">
        <f t="shared" si="11"/>
        <v>High</v>
      </c>
    </row>
    <row r="362" spans="1:7" x14ac:dyDescent="0.3">
      <c r="A362">
        <v>6962181067</v>
      </c>
      <c r="B362" s="1">
        <v>42467</v>
      </c>
      <c r="C362" s="1" t="str">
        <f t="shared" si="10"/>
        <v>Thursday</v>
      </c>
      <c r="D362" s="7">
        <v>13417</v>
      </c>
      <c r="E362" s="5">
        <v>9.6499996185302699</v>
      </c>
      <c r="F362" s="7">
        <v>2244</v>
      </c>
      <c r="G362" s="11" t="str">
        <f t="shared" si="11"/>
        <v>High</v>
      </c>
    </row>
    <row r="363" spans="1:7" x14ac:dyDescent="0.3">
      <c r="A363">
        <v>6962181067</v>
      </c>
      <c r="B363" s="1">
        <v>42468</v>
      </c>
      <c r="C363" s="1" t="str">
        <f t="shared" si="10"/>
        <v>Friday</v>
      </c>
      <c r="D363" s="7">
        <v>14400</v>
      </c>
      <c r="E363" s="5">
        <v>10.8800001144409</v>
      </c>
      <c r="F363" s="7">
        <v>2188</v>
      </c>
      <c r="G363" s="11" t="str">
        <f t="shared" si="11"/>
        <v>High</v>
      </c>
    </row>
    <row r="364" spans="1:7" x14ac:dyDescent="0.3">
      <c r="A364">
        <v>6962181067</v>
      </c>
      <c r="B364" s="1">
        <v>42469</v>
      </c>
      <c r="C364" s="1" t="str">
        <f t="shared" si="10"/>
        <v>Saturday</v>
      </c>
      <c r="D364" s="7">
        <v>12495</v>
      </c>
      <c r="E364" s="5">
        <v>8.2600002288818395</v>
      </c>
      <c r="F364" s="7">
        <v>2231</v>
      </c>
      <c r="G364" s="11" t="str">
        <f t="shared" si="11"/>
        <v>High</v>
      </c>
    </row>
    <row r="365" spans="1:7" x14ac:dyDescent="0.3">
      <c r="A365">
        <v>6962181067</v>
      </c>
      <c r="B365" s="1">
        <v>42470</v>
      </c>
      <c r="C365" s="1" t="str">
        <f t="shared" si="10"/>
        <v>Sunday</v>
      </c>
      <c r="D365" s="7">
        <v>10148</v>
      </c>
      <c r="E365" s="5">
        <v>6.71000003814697</v>
      </c>
      <c r="F365" s="7">
        <v>2100</v>
      </c>
      <c r="G365" s="11" t="str">
        <f t="shared" si="11"/>
        <v>High</v>
      </c>
    </row>
    <row r="366" spans="1:7" x14ac:dyDescent="0.3">
      <c r="A366">
        <v>6962181067</v>
      </c>
      <c r="B366" s="1">
        <v>42471</v>
      </c>
      <c r="C366" s="1" t="str">
        <f t="shared" si="10"/>
        <v>Monday</v>
      </c>
      <c r="D366" s="7">
        <v>12362</v>
      </c>
      <c r="E366" s="5">
        <v>9.0900001525878906</v>
      </c>
      <c r="F366" s="7">
        <v>2188</v>
      </c>
      <c r="G366" s="11" t="str">
        <f t="shared" si="11"/>
        <v>High</v>
      </c>
    </row>
    <row r="367" spans="1:7" x14ac:dyDescent="0.3">
      <c r="A367">
        <v>6962181067</v>
      </c>
      <c r="B367" s="1">
        <v>42472</v>
      </c>
      <c r="C367" s="1" t="str">
        <f t="shared" si="10"/>
        <v>Tuesday</v>
      </c>
      <c r="D367" s="7">
        <v>5893</v>
      </c>
      <c r="E367" s="5">
        <v>3.9000000953674299</v>
      </c>
      <c r="F367" s="7">
        <v>917</v>
      </c>
      <c r="G367" s="11" t="str">
        <f t="shared" si="11"/>
        <v>Moderate</v>
      </c>
    </row>
    <row r="368" spans="1:7" x14ac:dyDescent="0.3">
      <c r="A368">
        <v>7007744171</v>
      </c>
      <c r="B368" s="1">
        <v>42461</v>
      </c>
      <c r="C368" s="1" t="str">
        <f t="shared" si="10"/>
        <v>Friday</v>
      </c>
      <c r="D368" s="7">
        <v>11680</v>
      </c>
      <c r="E368" s="5">
        <v>9.0600004196166992</v>
      </c>
      <c r="F368" s="7">
        <v>2573</v>
      </c>
      <c r="G368" s="11" t="str">
        <f t="shared" si="11"/>
        <v>High</v>
      </c>
    </row>
    <row r="369" spans="1:7" x14ac:dyDescent="0.3">
      <c r="A369">
        <v>7007744171</v>
      </c>
      <c r="B369" s="1">
        <v>42462</v>
      </c>
      <c r="C369" s="1" t="str">
        <f t="shared" si="10"/>
        <v>Saturday</v>
      </c>
      <c r="D369" s="7">
        <v>10976</v>
      </c>
      <c r="E369" s="5">
        <v>7.3400001525878897</v>
      </c>
      <c r="F369" s="7">
        <v>2575</v>
      </c>
      <c r="G369" s="11" t="str">
        <f t="shared" si="11"/>
        <v>High</v>
      </c>
    </row>
    <row r="370" spans="1:7" x14ac:dyDescent="0.3">
      <c r="A370">
        <v>7007744171</v>
      </c>
      <c r="B370" s="1">
        <v>42463</v>
      </c>
      <c r="C370" s="1" t="str">
        <f t="shared" si="10"/>
        <v>Sunday</v>
      </c>
      <c r="D370" s="7">
        <v>16806</v>
      </c>
      <c r="E370" s="5">
        <v>11.2399997711182</v>
      </c>
      <c r="F370" s="7">
        <v>3086</v>
      </c>
      <c r="G370" s="11" t="str">
        <f t="shared" si="11"/>
        <v>High</v>
      </c>
    </row>
    <row r="371" spans="1:7" x14ac:dyDescent="0.3">
      <c r="A371">
        <v>7007744171</v>
      </c>
      <c r="B371" s="1">
        <v>42464</v>
      </c>
      <c r="C371" s="1" t="str">
        <f t="shared" si="10"/>
        <v>Monday</v>
      </c>
      <c r="D371" s="7">
        <v>15266</v>
      </c>
      <c r="E371" s="5">
        <v>11.3999996185303</v>
      </c>
      <c r="F371" s="7">
        <v>2886</v>
      </c>
      <c r="G371" s="11" t="str">
        <f t="shared" si="11"/>
        <v>High</v>
      </c>
    </row>
    <row r="372" spans="1:7" x14ac:dyDescent="0.3">
      <c r="A372">
        <v>7007744171</v>
      </c>
      <c r="B372" s="1">
        <v>42465</v>
      </c>
      <c r="C372" s="1" t="str">
        <f t="shared" si="10"/>
        <v>Tuesday</v>
      </c>
      <c r="D372" s="7">
        <v>12084</v>
      </c>
      <c r="E372" s="5">
        <v>9.1400003433227504</v>
      </c>
      <c r="F372" s="7">
        <v>2676</v>
      </c>
      <c r="G372" s="11" t="str">
        <f t="shared" si="11"/>
        <v>High</v>
      </c>
    </row>
    <row r="373" spans="1:7" x14ac:dyDescent="0.3">
      <c r="A373">
        <v>7007744171</v>
      </c>
      <c r="B373" s="1">
        <v>42466</v>
      </c>
      <c r="C373" s="1" t="str">
        <f t="shared" si="10"/>
        <v>Wednesday</v>
      </c>
      <c r="D373" s="7">
        <v>13513</v>
      </c>
      <c r="E373" s="5">
        <v>10.25</v>
      </c>
      <c r="F373" s="7">
        <v>2811</v>
      </c>
      <c r="G373" s="11" t="str">
        <f t="shared" si="11"/>
        <v>High</v>
      </c>
    </row>
    <row r="374" spans="1:7" x14ac:dyDescent="0.3">
      <c r="A374">
        <v>7007744171</v>
      </c>
      <c r="B374" s="1">
        <v>42467</v>
      </c>
      <c r="C374" s="1" t="str">
        <f t="shared" si="10"/>
        <v>Thursday</v>
      </c>
      <c r="D374" s="7">
        <v>14100</v>
      </c>
      <c r="E374" s="5">
        <v>10.579999923706101</v>
      </c>
      <c r="F374" s="7">
        <v>2840</v>
      </c>
      <c r="G374" s="11" t="str">
        <f t="shared" si="11"/>
        <v>High</v>
      </c>
    </row>
    <row r="375" spans="1:7" x14ac:dyDescent="0.3">
      <c r="A375">
        <v>7007744171</v>
      </c>
      <c r="B375" s="1">
        <v>42468</v>
      </c>
      <c r="C375" s="1" t="str">
        <f t="shared" si="10"/>
        <v>Friday</v>
      </c>
      <c r="D375" s="7">
        <v>12627</v>
      </c>
      <c r="E375" s="5">
        <v>9.6499996185302699</v>
      </c>
      <c r="F375" s="7">
        <v>2871</v>
      </c>
      <c r="G375" s="11" t="str">
        <f t="shared" si="11"/>
        <v>High</v>
      </c>
    </row>
    <row r="376" spans="1:7" x14ac:dyDescent="0.3">
      <c r="A376">
        <v>7007744171</v>
      </c>
      <c r="B376" s="1">
        <v>42469</v>
      </c>
      <c r="C376" s="1" t="str">
        <f t="shared" si="10"/>
        <v>Saturday</v>
      </c>
      <c r="D376" s="7">
        <v>10345</v>
      </c>
      <c r="E376" s="5">
        <v>6.9200000762939498</v>
      </c>
      <c r="F376" s="7">
        <v>2613</v>
      </c>
      <c r="G376" s="11" t="str">
        <f t="shared" si="11"/>
        <v>High</v>
      </c>
    </row>
    <row r="377" spans="1:7" x14ac:dyDescent="0.3">
      <c r="A377">
        <v>7007744171</v>
      </c>
      <c r="B377" s="1">
        <v>42470</v>
      </c>
      <c r="C377" s="1" t="str">
        <f t="shared" si="10"/>
        <v>Sunday</v>
      </c>
      <c r="D377" s="7">
        <v>10146</v>
      </c>
      <c r="E377" s="5">
        <v>6.78999996185303</v>
      </c>
      <c r="F377" s="7">
        <v>2700</v>
      </c>
      <c r="G377" s="11" t="str">
        <f t="shared" si="11"/>
        <v>High</v>
      </c>
    </row>
    <row r="378" spans="1:7" x14ac:dyDescent="0.3">
      <c r="A378">
        <v>7007744171</v>
      </c>
      <c r="B378" s="1">
        <v>42471</v>
      </c>
      <c r="C378" s="1" t="str">
        <f t="shared" si="10"/>
        <v>Monday</v>
      </c>
      <c r="D378" s="7">
        <v>12168</v>
      </c>
      <c r="E378" s="5">
        <v>8.1400003433227504</v>
      </c>
      <c r="F378" s="7">
        <v>2871</v>
      </c>
      <c r="G378" s="11" t="str">
        <f t="shared" si="11"/>
        <v>High</v>
      </c>
    </row>
    <row r="379" spans="1:7" x14ac:dyDescent="0.3">
      <c r="A379">
        <v>7007744171</v>
      </c>
      <c r="B379" s="1">
        <v>42472</v>
      </c>
      <c r="C379" s="1" t="str">
        <f t="shared" si="10"/>
        <v>Tuesday</v>
      </c>
      <c r="D379" s="7">
        <v>7413</v>
      </c>
      <c r="E379" s="5">
        <v>5.7699999809265101</v>
      </c>
      <c r="F379" s="7">
        <v>1023</v>
      </c>
      <c r="G379" s="11" t="str">
        <f t="shared" si="11"/>
        <v>Moderate</v>
      </c>
    </row>
    <row r="380" spans="1:7" x14ac:dyDescent="0.3">
      <c r="A380">
        <v>7086361926</v>
      </c>
      <c r="B380" s="1">
        <v>42461</v>
      </c>
      <c r="C380" s="1" t="str">
        <f t="shared" si="10"/>
        <v>Friday</v>
      </c>
      <c r="D380" s="7">
        <v>11463</v>
      </c>
      <c r="E380" s="5">
        <v>7.6700000762939498</v>
      </c>
      <c r="F380" s="7">
        <v>2496</v>
      </c>
      <c r="G380" s="11" t="str">
        <f t="shared" si="11"/>
        <v>High</v>
      </c>
    </row>
    <row r="381" spans="1:7" x14ac:dyDescent="0.3">
      <c r="A381">
        <v>7086361926</v>
      </c>
      <c r="B381" s="1">
        <v>42462</v>
      </c>
      <c r="C381" s="1" t="str">
        <f t="shared" si="10"/>
        <v>Saturday</v>
      </c>
      <c r="D381" s="7">
        <v>87</v>
      </c>
      <c r="E381" s="5">
        <v>1.9999999552965199E-2</v>
      </c>
      <c r="F381" s="7">
        <v>1641</v>
      </c>
      <c r="G381" s="11" t="str">
        <f t="shared" si="11"/>
        <v>Low</v>
      </c>
    </row>
    <row r="382" spans="1:7" x14ac:dyDescent="0.3">
      <c r="A382">
        <v>7086361926</v>
      </c>
      <c r="B382" s="1">
        <v>42463</v>
      </c>
      <c r="C382" s="1" t="str">
        <f t="shared" si="10"/>
        <v>Sunday</v>
      </c>
      <c r="D382" s="7">
        <v>1949</v>
      </c>
      <c r="E382" s="5">
        <v>1.3099999427795399</v>
      </c>
      <c r="F382" s="7">
        <v>1794</v>
      </c>
      <c r="G382" s="11" t="str">
        <f t="shared" si="11"/>
        <v>Low</v>
      </c>
    </row>
    <row r="383" spans="1:7" x14ac:dyDescent="0.3">
      <c r="A383">
        <v>7086361926</v>
      </c>
      <c r="B383" s="1">
        <v>42464</v>
      </c>
      <c r="C383" s="1" t="str">
        <f t="shared" si="10"/>
        <v>Monday</v>
      </c>
      <c r="D383" s="7">
        <v>6101</v>
      </c>
      <c r="E383" s="5">
        <v>3.8699998855590798</v>
      </c>
      <c r="F383" s="7">
        <v>2421</v>
      </c>
      <c r="G383" s="11" t="str">
        <f t="shared" si="11"/>
        <v>Moderate</v>
      </c>
    </row>
    <row r="384" spans="1:7" x14ac:dyDescent="0.3">
      <c r="A384">
        <v>7086361926</v>
      </c>
      <c r="B384" s="1">
        <v>42465</v>
      </c>
      <c r="C384" s="1" t="str">
        <f t="shared" si="10"/>
        <v>Tuesday</v>
      </c>
      <c r="D384" s="7">
        <v>7478</v>
      </c>
      <c r="E384" s="5">
        <v>4.9899997711181596</v>
      </c>
      <c r="F384" s="7">
        <v>2439</v>
      </c>
      <c r="G384" s="11" t="str">
        <f t="shared" si="11"/>
        <v>Moderate</v>
      </c>
    </row>
    <row r="385" spans="1:7" x14ac:dyDescent="0.3">
      <c r="A385">
        <v>7086361926</v>
      </c>
      <c r="B385" s="1">
        <v>42466</v>
      </c>
      <c r="C385" s="1" t="str">
        <f t="shared" si="10"/>
        <v>Wednesday</v>
      </c>
      <c r="D385" s="7">
        <v>7352</v>
      </c>
      <c r="E385" s="5">
        <v>4.7300000190734899</v>
      </c>
      <c r="F385" s="7">
        <v>2233</v>
      </c>
      <c r="G385" s="11" t="str">
        <f t="shared" si="11"/>
        <v>Moderate</v>
      </c>
    </row>
    <row r="386" spans="1:7" x14ac:dyDescent="0.3">
      <c r="A386">
        <v>7086361926</v>
      </c>
      <c r="B386" s="1">
        <v>42467</v>
      </c>
      <c r="C386" s="1" t="str">
        <f t="shared" si="10"/>
        <v>Thursday</v>
      </c>
      <c r="D386" s="7">
        <v>14604</v>
      </c>
      <c r="E386" s="5">
        <v>10.819999694824199</v>
      </c>
      <c r="F386" s="7">
        <v>2862</v>
      </c>
      <c r="G386" s="11" t="str">
        <f t="shared" si="11"/>
        <v>High</v>
      </c>
    </row>
    <row r="387" spans="1:7" x14ac:dyDescent="0.3">
      <c r="A387">
        <v>7086361926</v>
      </c>
      <c r="B387" s="1">
        <v>42468</v>
      </c>
      <c r="C387" s="1" t="str">
        <f t="shared" ref="C387:C450" si="12">TEXT(B387,"dddd")</f>
        <v>Friday</v>
      </c>
      <c r="D387" s="7">
        <v>9634</v>
      </c>
      <c r="E387" s="5">
        <v>6.5199999809265101</v>
      </c>
      <c r="F387" s="7">
        <v>2752</v>
      </c>
      <c r="G387" s="11" t="str">
        <f t="shared" ref="G387:G450" si="13">IF(D387&lt;5000,"Low",IF(D387&lt;=10000,"Moderate","High"))</f>
        <v>Moderate</v>
      </c>
    </row>
    <row r="388" spans="1:7" x14ac:dyDescent="0.3">
      <c r="A388">
        <v>7086361926</v>
      </c>
      <c r="B388" s="1">
        <v>42469</v>
      </c>
      <c r="C388" s="1" t="str">
        <f t="shared" si="12"/>
        <v>Saturday</v>
      </c>
      <c r="D388" s="7">
        <v>7338</v>
      </c>
      <c r="E388" s="5">
        <v>4.6700000762939498</v>
      </c>
      <c r="F388" s="7">
        <v>2519</v>
      </c>
      <c r="G388" s="11" t="str">
        <f t="shared" si="13"/>
        <v>Moderate</v>
      </c>
    </row>
    <row r="389" spans="1:7" x14ac:dyDescent="0.3">
      <c r="A389">
        <v>7086361926</v>
      </c>
      <c r="B389" s="1">
        <v>42470</v>
      </c>
      <c r="C389" s="1" t="str">
        <f t="shared" si="12"/>
        <v>Sunday</v>
      </c>
      <c r="D389" s="7">
        <v>569</v>
      </c>
      <c r="E389" s="5">
        <v>0.34999999403953602</v>
      </c>
      <c r="F389" s="7">
        <v>1799</v>
      </c>
      <c r="G389" s="11" t="str">
        <f t="shared" si="13"/>
        <v>Low</v>
      </c>
    </row>
    <row r="390" spans="1:7" x14ac:dyDescent="0.3">
      <c r="A390">
        <v>7086361926</v>
      </c>
      <c r="B390" s="1">
        <v>42471</v>
      </c>
      <c r="C390" s="1" t="str">
        <f t="shared" si="12"/>
        <v>Monday</v>
      </c>
      <c r="D390" s="7">
        <v>6242</v>
      </c>
      <c r="E390" s="5">
        <v>3.9200000762939502</v>
      </c>
      <c r="F390" s="7">
        <v>2543</v>
      </c>
      <c r="G390" s="11" t="str">
        <f t="shared" si="13"/>
        <v>Moderate</v>
      </c>
    </row>
    <row r="391" spans="1:7" x14ac:dyDescent="0.3">
      <c r="A391">
        <v>7086361926</v>
      </c>
      <c r="B391" s="1">
        <v>42472</v>
      </c>
      <c r="C391" s="1" t="str">
        <f t="shared" si="12"/>
        <v>Tuesday</v>
      </c>
      <c r="D391" s="7">
        <v>430</v>
      </c>
      <c r="E391" s="5">
        <v>0.259999990463257</v>
      </c>
      <c r="F391" s="7">
        <v>625</v>
      </c>
      <c r="G391" s="11" t="str">
        <f t="shared" si="13"/>
        <v>Low</v>
      </c>
    </row>
    <row r="392" spans="1:7" x14ac:dyDescent="0.3">
      <c r="A392">
        <v>8053475328</v>
      </c>
      <c r="B392" s="1">
        <v>42462</v>
      </c>
      <c r="C392" s="1" t="str">
        <f t="shared" si="12"/>
        <v>Saturday</v>
      </c>
      <c r="D392" s="7">
        <v>20188</v>
      </c>
      <c r="E392" s="5">
        <v>15.6199998855591</v>
      </c>
      <c r="F392" s="7">
        <v>3377</v>
      </c>
      <c r="G392" s="11" t="str">
        <f t="shared" si="13"/>
        <v>High</v>
      </c>
    </row>
    <row r="393" spans="1:7" x14ac:dyDescent="0.3">
      <c r="A393">
        <v>8053475328</v>
      </c>
      <c r="B393" s="1">
        <v>42463</v>
      </c>
      <c r="C393" s="1" t="str">
        <f t="shared" si="12"/>
        <v>Sunday</v>
      </c>
      <c r="D393" s="7">
        <v>25701</v>
      </c>
      <c r="E393" s="5">
        <v>20.139999389648398</v>
      </c>
      <c r="F393" s="7">
        <v>3697</v>
      </c>
      <c r="G393" s="11" t="str">
        <f t="shared" si="13"/>
        <v>High</v>
      </c>
    </row>
    <row r="394" spans="1:7" x14ac:dyDescent="0.3">
      <c r="A394">
        <v>8053475328</v>
      </c>
      <c r="B394" s="1">
        <v>42464</v>
      </c>
      <c r="C394" s="1" t="str">
        <f t="shared" si="12"/>
        <v>Monday</v>
      </c>
      <c r="D394" s="7">
        <v>17395</v>
      </c>
      <c r="E394" s="5">
        <v>13.210000038146999</v>
      </c>
      <c r="F394" s="7">
        <v>3209</v>
      </c>
      <c r="G394" s="11" t="str">
        <f t="shared" si="13"/>
        <v>High</v>
      </c>
    </row>
    <row r="395" spans="1:7" x14ac:dyDescent="0.3">
      <c r="A395">
        <v>8053475328</v>
      </c>
      <c r="B395" s="1">
        <v>42465</v>
      </c>
      <c r="C395" s="1" t="str">
        <f t="shared" si="12"/>
        <v>Tuesday</v>
      </c>
      <c r="D395" s="7">
        <v>17167</v>
      </c>
      <c r="E395" s="5">
        <v>13.4099998474121</v>
      </c>
      <c r="F395" s="7">
        <v>3167</v>
      </c>
      <c r="G395" s="11" t="str">
        <f t="shared" si="13"/>
        <v>High</v>
      </c>
    </row>
    <row r="396" spans="1:7" x14ac:dyDescent="0.3">
      <c r="A396">
        <v>8053475328</v>
      </c>
      <c r="B396" s="1">
        <v>42466</v>
      </c>
      <c r="C396" s="1" t="str">
        <f t="shared" si="12"/>
        <v>Wednesday</v>
      </c>
      <c r="D396" s="7">
        <v>16435</v>
      </c>
      <c r="E396" s="5">
        <v>12.420000076293899</v>
      </c>
      <c r="F396" s="7">
        <v>3122</v>
      </c>
      <c r="G396" s="11" t="str">
        <f t="shared" si="13"/>
        <v>High</v>
      </c>
    </row>
    <row r="397" spans="1:7" x14ac:dyDescent="0.3">
      <c r="A397">
        <v>8053475328</v>
      </c>
      <c r="B397" s="1">
        <v>42467</v>
      </c>
      <c r="C397" s="1" t="str">
        <f t="shared" si="12"/>
        <v>Thursday</v>
      </c>
      <c r="D397" s="7">
        <v>17078</v>
      </c>
      <c r="E397" s="5">
        <v>13.199999809265099</v>
      </c>
      <c r="F397" s="7">
        <v>3176</v>
      </c>
      <c r="G397" s="11" t="str">
        <f t="shared" si="13"/>
        <v>High</v>
      </c>
    </row>
    <row r="398" spans="1:7" x14ac:dyDescent="0.3">
      <c r="A398">
        <v>8053475328</v>
      </c>
      <c r="B398" s="1">
        <v>42468</v>
      </c>
      <c r="C398" s="1" t="str">
        <f t="shared" si="12"/>
        <v>Friday</v>
      </c>
      <c r="D398" s="7">
        <v>11693</v>
      </c>
      <c r="E398" s="5">
        <v>9.5399999618530291</v>
      </c>
      <c r="F398" s="7">
        <v>2790</v>
      </c>
      <c r="G398" s="11" t="str">
        <f t="shared" si="13"/>
        <v>High</v>
      </c>
    </row>
    <row r="399" spans="1:7" x14ac:dyDescent="0.3">
      <c r="A399">
        <v>8053475328</v>
      </c>
      <c r="B399" s="1">
        <v>42469</v>
      </c>
      <c r="C399" s="1" t="str">
        <f t="shared" si="12"/>
        <v>Saturday</v>
      </c>
      <c r="D399" s="7">
        <v>11159</v>
      </c>
      <c r="E399" s="5">
        <v>9.1400003433227504</v>
      </c>
      <c r="F399" s="7">
        <v>2715</v>
      </c>
      <c r="G399" s="11" t="str">
        <f t="shared" si="13"/>
        <v>High</v>
      </c>
    </row>
    <row r="400" spans="1:7" x14ac:dyDescent="0.3">
      <c r="A400">
        <v>8053475328</v>
      </c>
      <c r="B400" s="1">
        <v>42470</v>
      </c>
      <c r="C400" s="1" t="str">
        <f t="shared" si="12"/>
        <v>Sunday</v>
      </c>
      <c r="D400" s="7">
        <v>10118</v>
      </c>
      <c r="E400" s="5">
        <v>7.7300000190734899</v>
      </c>
      <c r="F400" s="7">
        <v>2684</v>
      </c>
      <c r="G400" s="11" t="str">
        <f t="shared" si="13"/>
        <v>High</v>
      </c>
    </row>
    <row r="401" spans="1:7" x14ac:dyDescent="0.3">
      <c r="A401">
        <v>8053475328</v>
      </c>
      <c r="B401" s="1">
        <v>42471</v>
      </c>
      <c r="C401" s="1" t="str">
        <f t="shared" si="12"/>
        <v>Monday</v>
      </c>
      <c r="D401" s="7">
        <v>16064</v>
      </c>
      <c r="E401" s="5">
        <v>12.7200002670288</v>
      </c>
      <c r="F401" s="7">
        <v>3097</v>
      </c>
      <c r="G401" s="11" t="str">
        <f t="shared" si="13"/>
        <v>High</v>
      </c>
    </row>
    <row r="402" spans="1:7" x14ac:dyDescent="0.3">
      <c r="A402">
        <v>8053475328</v>
      </c>
      <c r="B402" s="1">
        <v>42472</v>
      </c>
      <c r="C402" s="1" t="str">
        <f t="shared" si="12"/>
        <v>Tuesday</v>
      </c>
      <c r="D402" s="7">
        <v>290</v>
      </c>
      <c r="E402" s="5">
        <v>0.20999999344348899</v>
      </c>
      <c r="F402" s="7">
        <v>791</v>
      </c>
      <c r="G402" s="11" t="str">
        <f t="shared" si="13"/>
        <v>Low</v>
      </c>
    </row>
    <row r="403" spans="1:7" x14ac:dyDescent="0.3">
      <c r="A403">
        <v>8253242879</v>
      </c>
      <c r="B403" s="1">
        <v>42461</v>
      </c>
      <c r="C403" s="1" t="str">
        <f t="shared" si="12"/>
        <v>Friday</v>
      </c>
      <c r="D403" s="7">
        <v>0</v>
      </c>
      <c r="E403" s="5">
        <v>0</v>
      </c>
      <c r="F403" s="7">
        <v>1429</v>
      </c>
      <c r="G403" s="11" t="str">
        <f t="shared" si="13"/>
        <v>Low</v>
      </c>
    </row>
    <row r="404" spans="1:7" x14ac:dyDescent="0.3">
      <c r="A404">
        <v>8253242879</v>
      </c>
      <c r="B404" s="1">
        <v>42462</v>
      </c>
      <c r="C404" s="1" t="str">
        <f t="shared" si="12"/>
        <v>Saturday</v>
      </c>
      <c r="D404" s="7">
        <v>0</v>
      </c>
      <c r="E404" s="5">
        <v>0</v>
      </c>
      <c r="F404" s="7">
        <v>1429</v>
      </c>
      <c r="G404" s="11" t="str">
        <f t="shared" si="13"/>
        <v>Low</v>
      </c>
    </row>
    <row r="405" spans="1:7" x14ac:dyDescent="0.3">
      <c r="A405">
        <v>8253242879</v>
      </c>
      <c r="B405" s="1">
        <v>42463</v>
      </c>
      <c r="C405" s="1" t="str">
        <f t="shared" si="12"/>
        <v>Sunday</v>
      </c>
      <c r="D405" s="7">
        <v>0</v>
      </c>
      <c r="E405" s="5">
        <v>0</v>
      </c>
      <c r="F405" s="7">
        <v>1429</v>
      </c>
      <c r="G405" s="11" t="str">
        <f t="shared" si="13"/>
        <v>Low</v>
      </c>
    </row>
    <row r="406" spans="1:7" x14ac:dyDescent="0.3">
      <c r="A406">
        <v>8253242879</v>
      </c>
      <c r="B406" s="1">
        <v>42464</v>
      </c>
      <c r="C406" s="1" t="str">
        <f t="shared" si="12"/>
        <v>Monday</v>
      </c>
      <c r="D406" s="7">
        <v>0</v>
      </c>
      <c r="E406" s="5">
        <v>0</v>
      </c>
      <c r="F406" s="7">
        <v>1429</v>
      </c>
      <c r="G406" s="11" t="str">
        <f t="shared" si="13"/>
        <v>Low</v>
      </c>
    </row>
    <row r="407" spans="1:7" x14ac:dyDescent="0.3">
      <c r="A407">
        <v>8253242879</v>
      </c>
      <c r="B407" s="1">
        <v>42465</v>
      </c>
      <c r="C407" s="1" t="str">
        <f t="shared" si="12"/>
        <v>Tuesday</v>
      </c>
      <c r="D407" s="7">
        <v>0</v>
      </c>
      <c r="E407" s="5">
        <v>0</v>
      </c>
      <c r="F407" s="7">
        <v>1429</v>
      </c>
      <c r="G407" s="11" t="str">
        <f t="shared" si="13"/>
        <v>Low</v>
      </c>
    </row>
    <row r="408" spans="1:7" x14ac:dyDescent="0.3">
      <c r="A408">
        <v>8253242879</v>
      </c>
      <c r="B408" s="1">
        <v>42466</v>
      </c>
      <c r="C408" s="1" t="str">
        <f t="shared" si="12"/>
        <v>Wednesday</v>
      </c>
      <c r="D408" s="7">
        <v>1931</v>
      </c>
      <c r="E408" s="5">
        <v>1.2799999713897701</v>
      </c>
      <c r="F408" s="7">
        <v>1607</v>
      </c>
      <c r="G408" s="11" t="str">
        <f t="shared" si="13"/>
        <v>Low</v>
      </c>
    </row>
    <row r="409" spans="1:7" x14ac:dyDescent="0.3">
      <c r="A409">
        <v>8253242879</v>
      </c>
      <c r="B409" s="1">
        <v>42467</v>
      </c>
      <c r="C409" s="1" t="str">
        <f t="shared" si="12"/>
        <v>Thursday</v>
      </c>
      <c r="D409" s="7">
        <v>5181</v>
      </c>
      <c r="E409" s="5">
        <v>3.4200000762939502</v>
      </c>
      <c r="F409" s="7">
        <v>1776</v>
      </c>
      <c r="G409" s="11" t="str">
        <f t="shared" si="13"/>
        <v>Moderate</v>
      </c>
    </row>
    <row r="410" spans="1:7" x14ac:dyDescent="0.3">
      <c r="A410">
        <v>8253242879</v>
      </c>
      <c r="B410" s="1">
        <v>42468</v>
      </c>
      <c r="C410" s="1" t="str">
        <f t="shared" si="12"/>
        <v>Friday</v>
      </c>
      <c r="D410" s="7">
        <v>12026</v>
      </c>
      <c r="E410" s="5">
        <v>9.1499996185302699</v>
      </c>
      <c r="F410" s="7">
        <v>2162</v>
      </c>
      <c r="G410" s="11" t="str">
        <f t="shared" si="13"/>
        <v>High</v>
      </c>
    </row>
    <row r="411" spans="1:7" x14ac:dyDescent="0.3">
      <c r="A411">
        <v>8253242879</v>
      </c>
      <c r="B411" s="1">
        <v>42469</v>
      </c>
      <c r="C411" s="1" t="str">
        <f t="shared" si="12"/>
        <v>Saturday</v>
      </c>
      <c r="D411" s="7">
        <v>5360</v>
      </c>
      <c r="E411" s="5">
        <v>3.53999996185303</v>
      </c>
      <c r="F411" s="7">
        <v>1832</v>
      </c>
      <c r="G411" s="11" t="str">
        <f t="shared" si="13"/>
        <v>Moderate</v>
      </c>
    </row>
    <row r="412" spans="1:7" x14ac:dyDescent="0.3">
      <c r="A412">
        <v>8253242879</v>
      </c>
      <c r="B412" s="1">
        <v>42470</v>
      </c>
      <c r="C412" s="1" t="str">
        <f t="shared" si="12"/>
        <v>Sunday</v>
      </c>
      <c r="D412" s="7">
        <v>2545</v>
      </c>
      <c r="E412" s="5">
        <v>1.6799999475479099</v>
      </c>
      <c r="F412" s="7">
        <v>1657</v>
      </c>
      <c r="G412" s="11" t="str">
        <f t="shared" si="13"/>
        <v>Low</v>
      </c>
    </row>
    <row r="413" spans="1:7" x14ac:dyDescent="0.3">
      <c r="A413">
        <v>8253242879</v>
      </c>
      <c r="B413" s="1">
        <v>42471</v>
      </c>
      <c r="C413" s="1" t="str">
        <f t="shared" si="12"/>
        <v>Monday</v>
      </c>
      <c r="D413" s="7">
        <v>1636</v>
      </c>
      <c r="E413" s="5">
        <v>1.08000004291534</v>
      </c>
      <c r="F413" s="7">
        <v>1377</v>
      </c>
      <c r="G413" s="11" t="str">
        <f t="shared" si="13"/>
        <v>Low</v>
      </c>
    </row>
    <row r="414" spans="1:7" x14ac:dyDescent="0.3">
      <c r="A414">
        <v>8253242879</v>
      </c>
      <c r="B414" s="1">
        <v>42472</v>
      </c>
      <c r="C414" s="1" t="str">
        <f t="shared" si="12"/>
        <v>Tuesday</v>
      </c>
      <c r="D414" s="7">
        <v>0</v>
      </c>
      <c r="E414" s="5">
        <v>0</v>
      </c>
      <c r="F414" s="7">
        <v>0</v>
      </c>
      <c r="G414" s="11" t="str">
        <f t="shared" si="13"/>
        <v>Low</v>
      </c>
    </row>
    <row r="415" spans="1:7" x14ac:dyDescent="0.3">
      <c r="A415">
        <v>8378563200</v>
      </c>
      <c r="B415" s="1">
        <v>42461</v>
      </c>
      <c r="C415" s="1" t="str">
        <f t="shared" si="12"/>
        <v>Friday</v>
      </c>
      <c r="D415" s="7">
        <v>14179</v>
      </c>
      <c r="E415" s="5">
        <v>11.2399997711182</v>
      </c>
      <c r="F415" s="7">
        <v>3669</v>
      </c>
      <c r="G415" s="11" t="str">
        <f t="shared" si="13"/>
        <v>High</v>
      </c>
    </row>
    <row r="416" spans="1:7" x14ac:dyDescent="0.3">
      <c r="A416">
        <v>8378563200</v>
      </c>
      <c r="B416" s="1">
        <v>42462</v>
      </c>
      <c r="C416" s="1" t="str">
        <f t="shared" si="12"/>
        <v>Saturday</v>
      </c>
      <c r="D416" s="7">
        <v>3358</v>
      </c>
      <c r="E416" s="5">
        <v>2.6600000858306898</v>
      </c>
      <c r="F416" s="7">
        <v>2702</v>
      </c>
      <c r="G416" s="11" t="str">
        <f t="shared" si="13"/>
        <v>Low</v>
      </c>
    </row>
    <row r="417" spans="1:7" x14ac:dyDescent="0.3">
      <c r="A417">
        <v>8378563200</v>
      </c>
      <c r="B417" s="1">
        <v>42463</v>
      </c>
      <c r="C417" s="1" t="str">
        <f t="shared" si="12"/>
        <v>Sunday</v>
      </c>
      <c r="D417" s="7">
        <v>9152</v>
      </c>
      <c r="E417" s="5">
        <v>7.2600002288818404</v>
      </c>
      <c r="F417" s="7">
        <v>3304</v>
      </c>
      <c r="G417" s="11" t="str">
        <f t="shared" si="13"/>
        <v>Moderate</v>
      </c>
    </row>
    <row r="418" spans="1:7" x14ac:dyDescent="0.3">
      <c r="A418">
        <v>8378563200</v>
      </c>
      <c r="B418" s="1">
        <v>42464</v>
      </c>
      <c r="C418" s="1" t="str">
        <f t="shared" si="12"/>
        <v>Monday</v>
      </c>
      <c r="D418" s="7">
        <v>13935</v>
      </c>
      <c r="E418" s="5">
        <v>11.050000190734901</v>
      </c>
      <c r="F418" s="7">
        <v>4234</v>
      </c>
      <c r="G418" s="11" t="str">
        <f t="shared" si="13"/>
        <v>High</v>
      </c>
    </row>
    <row r="419" spans="1:7" x14ac:dyDescent="0.3">
      <c r="A419">
        <v>8378563200</v>
      </c>
      <c r="B419" s="1">
        <v>42465</v>
      </c>
      <c r="C419" s="1" t="str">
        <f t="shared" si="12"/>
        <v>Tuesday</v>
      </c>
      <c r="D419" s="7">
        <v>12846</v>
      </c>
      <c r="E419" s="5">
        <v>10.189999580383301</v>
      </c>
      <c r="F419" s="7">
        <v>4128</v>
      </c>
      <c r="G419" s="11" t="str">
        <f t="shared" si="13"/>
        <v>High</v>
      </c>
    </row>
    <row r="420" spans="1:7" x14ac:dyDescent="0.3">
      <c r="A420">
        <v>8378563200</v>
      </c>
      <c r="B420" s="1">
        <v>42466</v>
      </c>
      <c r="C420" s="1" t="str">
        <f t="shared" si="12"/>
        <v>Wednesday</v>
      </c>
      <c r="D420" s="7">
        <v>9124</v>
      </c>
      <c r="E420" s="5">
        <v>7.2399997711181596</v>
      </c>
      <c r="F420" s="7">
        <v>3798</v>
      </c>
      <c r="G420" s="11" t="str">
        <f t="shared" si="13"/>
        <v>Moderate</v>
      </c>
    </row>
    <row r="421" spans="1:7" x14ac:dyDescent="0.3">
      <c r="A421">
        <v>8378563200</v>
      </c>
      <c r="B421" s="1">
        <v>42467</v>
      </c>
      <c r="C421" s="1" t="str">
        <f t="shared" si="12"/>
        <v>Thursday</v>
      </c>
      <c r="D421" s="7">
        <v>9725</v>
      </c>
      <c r="E421" s="5">
        <v>7.71000003814697</v>
      </c>
      <c r="F421" s="7">
        <v>3839</v>
      </c>
      <c r="G421" s="11" t="str">
        <f t="shared" si="13"/>
        <v>Moderate</v>
      </c>
    </row>
    <row r="422" spans="1:7" x14ac:dyDescent="0.3">
      <c r="A422">
        <v>8378563200</v>
      </c>
      <c r="B422" s="1">
        <v>42468</v>
      </c>
      <c r="C422" s="1" t="str">
        <f t="shared" si="12"/>
        <v>Friday</v>
      </c>
      <c r="D422" s="7">
        <v>8350</v>
      </c>
      <c r="E422" s="5">
        <v>6.6199998855590803</v>
      </c>
      <c r="F422" s="7">
        <v>3713</v>
      </c>
      <c r="G422" s="11" t="str">
        <f t="shared" si="13"/>
        <v>Moderate</v>
      </c>
    </row>
    <row r="423" spans="1:7" x14ac:dyDescent="0.3">
      <c r="A423">
        <v>8378563200</v>
      </c>
      <c r="B423" s="1">
        <v>42469</v>
      </c>
      <c r="C423" s="1" t="str">
        <f t="shared" si="12"/>
        <v>Saturday</v>
      </c>
      <c r="D423" s="7">
        <v>2240</v>
      </c>
      <c r="E423" s="5">
        <v>1.7799999713897701</v>
      </c>
      <c r="F423" s="7">
        <v>2606</v>
      </c>
      <c r="G423" s="11" t="str">
        <f t="shared" si="13"/>
        <v>Low</v>
      </c>
    </row>
    <row r="424" spans="1:7" x14ac:dyDescent="0.3">
      <c r="A424">
        <v>8378563200</v>
      </c>
      <c r="B424" s="1">
        <v>42470</v>
      </c>
      <c r="C424" s="1" t="str">
        <f t="shared" si="12"/>
        <v>Sunday</v>
      </c>
      <c r="D424" s="7">
        <v>2631</v>
      </c>
      <c r="E424" s="5">
        <v>2.0899999141693102</v>
      </c>
      <c r="F424" s="7">
        <v>2624</v>
      </c>
      <c r="G424" s="11" t="str">
        <f t="shared" si="13"/>
        <v>Low</v>
      </c>
    </row>
    <row r="425" spans="1:7" x14ac:dyDescent="0.3">
      <c r="A425">
        <v>8378563200</v>
      </c>
      <c r="B425" s="1">
        <v>42471</v>
      </c>
      <c r="C425" s="1" t="str">
        <f t="shared" si="12"/>
        <v>Monday</v>
      </c>
      <c r="D425" s="7">
        <v>8837</v>
      </c>
      <c r="E425" s="5">
        <v>7.0100002288818404</v>
      </c>
      <c r="F425" s="7">
        <v>3775</v>
      </c>
      <c r="G425" s="11" t="str">
        <f t="shared" si="13"/>
        <v>Moderate</v>
      </c>
    </row>
    <row r="426" spans="1:7" x14ac:dyDescent="0.3">
      <c r="A426">
        <v>8378563200</v>
      </c>
      <c r="B426" s="1">
        <v>42472</v>
      </c>
      <c r="C426" s="1" t="str">
        <f t="shared" si="12"/>
        <v>Tuesday</v>
      </c>
      <c r="D426" s="7">
        <v>3246</v>
      </c>
      <c r="E426" s="5">
        <v>2.5699999332428001</v>
      </c>
      <c r="F426" s="7">
        <v>1882</v>
      </c>
      <c r="G426" s="11" t="str">
        <f t="shared" si="13"/>
        <v>Low</v>
      </c>
    </row>
    <row r="427" spans="1:7" x14ac:dyDescent="0.3">
      <c r="A427">
        <v>8583815059</v>
      </c>
      <c r="B427" s="1">
        <v>42461</v>
      </c>
      <c r="C427" s="1" t="str">
        <f t="shared" si="12"/>
        <v>Friday</v>
      </c>
      <c r="D427" s="7">
        <v>2174</v>
      </c>
      <c r="E427" s="5">
        <v>1.70000004768372</v>
      </c>
      <c r="F427" s="7">
        <v>2360</v>
      </c>
      <c r="G427" s="11" t="str">
        <f t="shared" si="13"/>
        <v>Low</v>
      </c>
    </row>
    <row r="428" spans="1:7" x14ac:dyDescent="0.3">
      <c r="A428">
        <v>8583815059</v>
      </c>
      <c r="B428" s="1">
        <v>42462</v>
      </c>
      <c r="C428" s="1" t="str">
        <f t="shared" si="12"/>
        <v>Saturday</v>
      </c>
      <c r="D428" s="7">
        <v>3494</v>
      </c>
      <c r="E428" s="5">
        <v>2.7300000190734899</v>
      </c>
      <c r="F428" s="7">
        <v>2517</v>
      </c>
      <c r="G428" s="11" t="str">
        <f t="shared" si="13"/>
        <v>Low</v>
      </c>
    </row>
    <row r="429" spans="1:7" x14ac:dyDescent="0.3">
      <c r="A429">
        <v>8583815059</v>
      </c>
      <c r="B429" s="1">
        <v>42463</v>
      </c>
      <c r="C429" s="1" t="str">
        <f t="shared" si="12"/>
        <v>Sunday</v>
      </c>
      <c r="D429" s="7">
        <v>2380</v>
      </c>
      <c r="E429" s="5">
        <v>1.8600000143051101</v>
      </c>
      <c r="F429" s="7">
        <v>2400</v>
      </c>
      <c r="G429" s="11" t="str">
        <f t="shared" si="13"/>
        <v>Low</v>
      </c>
    </row>
    <row r="430" spans="1:7" x14ac:dyDescent="0.3">
      <c r="A430">
        <v>8583815059</v>
      </c>
      <c r="B430" s="1">
        <v>42464</v>
      </c>
      <c r="C430" s="1" t="str">
        <f t="shared" si="12"/>
        <v>Monday</v>
      </c>
      <c r="D430" s="7">
        <v>3159</v>
      </c>
      <c r="E430" s="5">
        <v>2.46000003814697</v>
      </c>
      <c r="F430" s="7">
        <v>2462</v>
      </c>
      <c r="G430" s="11" t="str">
        <f t="shared" si="13"/>
        <v>Low</v>
      </c>
    </row>
    <row r="431" spans="1:7" x14ac:dyDescent="0.3">
      <c r="A431">
        <v>8583815059</v>
      </c>
      <c r="B431" s="1">
        <v>42465</v>
      </c>
      <c r="C431" s="1" t="str">
        <f t="shared" si="12"/>
        <v>Tuesday</v>
      </c>
      <c r="D431" s="7">
        <v>6835</v>
      </c>
      <c r="E431" s="5">
        <v>5.3299999237060502</v>
      </c>
      <c r="F431" s="7">
        <v>2786</v>
      </c>
      <c r="G431" s="11" t="str">
        <f t="shared" si="13"/>
        <v>Moderate</v>
      </c>
    </row>
    <row r="432" spans="1:7" x14ac:dyDescent="0.3">
      <c r="A432">
        <v>8583815059</v>
      </c>
      <c r="B432" s="1">
        <v>42466</v>
      </c>
      <c r="C432" s="1" t="str">
        <f t="shared" si="12"/>
        <v>Wednesday</v>
      </c>
      <c r="D432" s="7">
        <v>2098</v>
      </c>
      <c r="E432" s="5">
        <v>1.6399999856948899</v>
      </c>
      <c r="F432" s="7">
        <v>2354</v>
      </c>
      <c r="G432" s="11" t="str">
        <f t="shared" si="13"/>
        <v>Low</v>
      </c>
    </row>
    <row r="433" spans="1:7" x14ac:dyDescent="0.3">
      <c r="A433">
        <v>8583815059</v>
      </c>
      <c r="B433" s="1">
        <v>42467</v>
      </c>
      <c r="C433" s="1" t="str">
        <f t="shared" si="12"/>
        <v>Thursday</v>
      </c>
      <c r="D433" s="7">
        <v>2816</v>
      </c>
      <c r="E433" s="5">
        <v>2.2000000476837198</v>
      </c>
      <c r="F433" s="7">
        <v>2437</v>
      </c>
      <c r="G433" s="11" t="str">
        <f t="shared" si="13"/>
        <v>Low</v>
      </c>
    </row>
    <row r="434" spans="1:7" x14ac:dyDescent="0.3">
      <c r="A434">
        <v>8583815059</v>
      </c>
      <c r="B434" s="1">
        <v>42468</v>
      </c>
      <c r="C434" s="1" t="str">
        <f t="shared" si="12"/>
        <v>Friday</v>
      </c>
      <c r="D434" s="7">
        <v>1408</v>
      </c>
      <c r="E434" s="5">
        <v>1.1000000238418599</v>
      </c>
      <c r="F434" s="7">
        <v>1814</v>
      </c>
      <c r="G434" s="11" t="str">
        <f t="shared" si="13"/>
        <v>Low</v>
      </c>
    </row>
    <row r="435" spans="1:7" x14ac:dyDescent="0.3">
      <c r="A435">
        <v>8792009665</v>
      </c>
      <c r="B435" s="1">
        <v>42461</v>
      </c>
      <c r="C435" s="1" t="str">
        <f t="shared" si="12"/>
        <v>Friday</v>
      </c>
      <c r="D435" s="7">
        <v>4592</v>
      </c>
      <c r="E435" s="5">
        <v>2.9400000572204599</v>
      </c>
      <c r="F435" s="7">
        <v>2260</v>
      </c>
      <c r="G435" s="11" t="str">
        <f t="shared" si="13"/>
        <v>Low</v>
      </c>
    </row>
    <row r="436" spans="1:7" x14ac:dyDescent="0.3">
      <c r="A436">
        <v>8792009665</v>
      </c>
      <c r="B436" s="1">
        <v>42462</v>
      </c>
      <c r="C436" s="1" t="str">
        <f t="shared" si="12"/>
        <v>Saturday</v>
      </c>
      <c r="D436" s="7">
        <v>8452</v>
      </c>
      <c r="E436" s="5">
        <v>5.4099998474121103</v>
      </c>
      <c r="F436" s="7">
        <v>3004</v>
      </c>
      <c r="G436" s="11" t="str">
        <f t="shared" si="13"/>
        <v>Moderate</v>
      </c>
    </row>
    <row r="437" spans="1:7" x14ac:dyDescent="0.3">
      <c r="A437">
        <v>8792009665</v>
      </c>
      <c r="B437" s="1">
        <v>42463</v>
      </c>
      <c r="C437" s="1" t="str">
        <f t="shared" si="12"/>
        <v>Sunday</v>
      </c>
      <c r="D437" s="7">
        <v>7238</v>
      </c>
      <c r="E437" s="5">
        <v>4.6300001144409197</v>
      </c>
      <c r="F437" s="7">
        <v>2667</v>
      </c>
      <c r="G437" s="11" t="str">
        <f t="shared" si="13"/>
        <v>Moderate</v>
      </c>
    </row>
    <row r="438" spans="1:7" x14ac:dyDescent="0.3">
      <c r="A438">
        <v>8792009665</v>
      </c>
      <c r="B438" s="1">
        <v>42464</v>
      </c>
      <c r="C438" s="1" t="str">
        <f t="shared" si="12"/>
        <v>Monday</v>
      </c>
      <c r="D438" s="7">
        <v>3821</v>
      </c>
      <c r="E438" s="5">
        <v>2.4500000476837198</v>
      </c>
      <c r="F438" s="7">
        <v>2229</v>
      </c>
      <c r="G438" s="11" t="str">
        <f t="shared" si="13"/>
        <v>Low</v>
      </c>
    </row>
    <row r="439" spans="1:7" x14ac:dyDescent="0.3">
      <c r="A439">
        <v>8792009665</v>
      </c>
      <c r="B439" s="1">
        <v>42465</v>
      </c>
      <c r="C439" s="1" t="str">
        <f t="shared" si="12"/>
        <v>Tuesday</v>
      </c>
      <c r="D439" s="7">
        <v>2332</v>
      </c>
      <c r="E439" s="5">
        <v>1.4900000095367401</v>
      </c>
      <c r="F439" s="7">
        <v>2100</v>
      </c>
      <c r="G439" s="11" t="str">
        <f t="shared" si="13"/>
        <v>Low</v>
      </c>
    </row>
    <row r="440" spans="1:7" x14ac:dyDescent="0.3">
      <c r="A440">
        <v>8792009665</v>
      </c>
      <c r="B440" s="1">
        <v>42466</v>
      </c>
      <c r="C440" s="1" t="str">
        <f t="shared" si="12"/>
        <v>Wednesday</v>
      </c>
      <c r="D440" s="7">
        <v>2121</v>
      </c>
      <c r="E440" s="5">
        <v>1.3600000143051101</v>
      </c>
      <c r="F440" s="7">
        <v>2114</v>
      </c>
      <c r="G440" s="11" t="str">
        <f t="shared" si="13"/>
        <v>Low</v>
      </c>
    </row>
    <row r="441" spans="1:7" x14ac:dyDescent="0.3">
      <c r="A441">
        <v>8792009665</v>
      </c>
      <c r="B441" s="1">
        <v>42467</v>
      </c>
      <c r="C441" s="1" t="str">
        <f t="shared" si="12"/>
        <v>Thursday</v>
      </c>
      <c r="D441" s="7">
        <v>1291</v>
      </c>
      <c r="E441" s="5">
        <v>0.82999998331069902</v>
      </c>
      <c r="F441" s="7">
        <v>1961</v>
      </c>
      <c r="G441" s="11" t="str">
        <f t="shared" si="13"/>
        <v>Low</v>
      </c>
    </row>
    <row r="442" spans="1:7" x14ac:dyDescent="0.3">
      <c r="A442">
        <v>8792009665</v>
      </c>
      <c r="B442" s="1">
        <v>42468</v>
      </c>
      <c r="C442" s="1" t="str">
        <f t="shared" si="12"/>
        <v>Friday</v>
      </c>
      <c r="D442" s="7">
        <v>1467</v>
      </c>
      <c r="E442" s="5">
        <v>0.93999999761581399</v>
      </c>
      <c r="F442" s="7">
        <v>1953</v>
      </c>
      <c r="G442" s="11" t="str">
        <f t="shared" si="13"/>
        <v>Low</v>
      </c>
    </row>
    <row r="443" spans="1:7" x14ac:dyDescent="0.3">
      <c r="A443">
        <v>8792009665</v>
      </c>
      <c r="B443" s="1">
        <v>42469</v>
      </c>
      <c r="C443" s="1" t="str">
        <f t="shared" si="12"/>
        <v>Saturday</v>
      </c>
      <c r="D443" s="7">
        <v>1022</v>
      </c>
      <c r="E443" s="5">
        <v>0.64999997615814198</v>
      </c>
      <c r="F443" s="7">
        <v>1890</v>
      </c>
      <c r="G443" s="11" t="str">
        <f t="shared" si="13"/>
        <v>Low</v>
      </c>
    </row>
    <row r="444" spans="1:7" x14ac:dyDescent="0.3">
      <c r="A444">
        <v>8792009665</v>
      </c>
      <c r="B444" s="1">
        <v>42470</v>
      </c>
      <c r="C444" s="1" t="str">
        <f t="shared" si="12"/>
        <v>Sunday</v>
      </c>
      <c r="D444" s="7">
        <v>4605</v>
      </c>
      <c r="E444" s="5">
        <v>2.9500000476837198</v>
      </c>
      <c r="F444" s="7">
        <v>2253</v>
      </c>
      <c r="G444" s="11" t="str">
        <f t="shared" si="13"/>
        <v>Low</v>
      </c>
    </row>
    <row r="445" spans="1:7" x14ac:dyDescent="0.3">
      <c r="A445">
        <v>8792009665</v>
      </c>
      <c r="B445" s="1">
        <v>42471</v>
      </c>
      <c r="C445" s="1" t="str">
        <f t="shared" si="12"/>
        <v>Monday</v>
      </c>
      <c r="D445" s="7">
        <v>178</v>
      </c>
      <c r="E445" s="5">
        <v>0.109999999403954</v>
      </c>
      <c r="F445" s="7">
        <v>1725</v>
      </c>
      <c r="G445" s="11" t="str">
        <f t="shared" si="13"/>
        <v>Low</v>
      </c>
    </row>
    <row r="446" spans="1:7" x14ac:dyDescent="0.3">
      <c r="A446">
        <v>8792009665</v>
      </c>
      <c r="B446" s="1">
        <v>42472</v>
      </c>
      <c r="C446" s="1" t="str">
        <f t="shared" si="12"/>
        <v>Tuesday</v>
      </c>
      <c r="D446" s="7">
        <v>20</v>
      </c>
      <c r="E446" s="5">
        <v>9.9999997764825804E-3</v>
      </c>
      <c r="F446" s="7">
        <v>728</v>
      </c>
      <c r="G446" s="11" t="str">
        <f t="shared" si="13"/>
        <v>Low</v>
      </c>
    </row>
    <row r="447" spans="1:7" x14ac:dyDescent="0.3">
      <c r="A447">
        <v>8877689391</v>
      </c>
      <c r="B447" s="1">
        <v>42461</v>
      </c>
      <c r="C447" s="1" t="str">
        <f t="shared" si="12"/>
        <v>Friday</v>
      </c>
      <c r="D447" s="7">
        <v>18700</v>
      </c>
      <c r="E447" s="5">
        <v>15.819999694824199</v>
      </c>
      <c r="F447" s="7">
        <v>3527</v>
      </c>
      <c r="G447" s="11" t="str">
        <f t="shared" si="13"/>
        <v>High</v>
      </c>
    </row>
    <row r="448" spans="1:7" x14ac:dyDescent="0.3">
      <c r="A448">
        <v>8877689391</v>
      </c>
      <c r="B448" s="1">
        <v>42462</v>
      </c>
      <c r="C448" s="1" t="str">
        <f t="shared" si="12"/>
        <v>Saturday</v>
      </c>
      <c r="D448" s="7">
        <v>27572</v>
      </c>
      <c r="E448" s="5">
        <v>23.389999389648398</v>
      </c>
      <c r="F448" s="7">
        <v>4220</v>
      </c>
      <c r="G448" s="11" t="str">
        <f t="shared" si="13"/>
        <v>High</v>
      </c>
    </row>
    <row r="449" spans="1:7" x14ac:dyDescent="0.3">
      <c r="A449">
        <v>8877689391</v>
      </c>
      <c r="B449" s="1">
        <v>42463</v>
      </c>
      <c r="C449" s="1" t="str">
        <f t="shared" si="12"/>
        <v>Sunday</v>
      </c>
      <c r="D449" s="7">
        <v>15260</v>
      </c>
      <c r="E449" s="5">
        <v>8.1899995803833008</v>
      </c>
      <c r="F449" s="7">
        <v>3864</v>
      </c>
      <c r="G449" s="11" t="str">
        <f t="shared" si="13"/>
        <v>High</v>
      </c>
    </row>
    <row r="450" spans="1:7" x14ac:dyDescent="0.3">
      <c r="A450">
        <v>8877689391</v>
      </c>
      <c r="B450" s="1">
        <v>42464</v>
      </c>
      <c r="C450" s="1" t="str">
        <f t="shared" si="12"/>
        <v>Monday</v>
      </c>
      <c r="D450" s="7">
        <v>20779</v>
      </c>
      <c r="E450" s="5">
        <v>18.409999847412099</v>
      </c>
      <c r="F450" s="7">
        <v>3662</v>
      </c>
      <c r="G450" s="11" t="str">
        <f t="shared" si="13"/>
        <v>High</v>
      </c>
    </row>
    <row r="451" spans="1:7" x14ac:dyDescent="0.3">
      <c r="A451">
        <v>8877689391</v>
      </c>
      <c r="B451" s="1">
        <v>42465</v>
      </c>
      <c r="C451" s="1" t="str">
        <f t="shared" ref="C451:C458" si="14">TEXT(B451,"dddd")</f>
        <v>Tuesday</v>
      </c>
      <c r="D451" s="7">
        <v>10695</v>
      </c>
      <c r="E451" s="5">
        <v>8.1199998855590803</v>
      </c>
      <c r="F451" s="7">
        <v>2834</v>
      </c>
      <c r="G451" s="11" t="str">
        <f t="shared" ref="G451:G458" si="15">IF(D451&lt;5000,"Low",IF(D451&lt;=10000,"Moderate","High"))</f>
        <v>High</v>
      </c>
    </row>
    <row r="452" spans="1:7" x14ac:dyDescent="0.3">
      <c r="A452">
        <v>8877689391</v>
      </c>
      <c r="B452" s="1">
        <v>42466</v>
      </c>
      <c r="C452" s="1" t="str">
        <f t="shared" si="14"/>
        <v>Wednesday</v>
      </c>
      <c r="D452" s="7">
        <v>24136</v>
      </c>
      <c r="E452" s="5">
        <v>20.909999847412099</v>
      </c>
      <c r="F452" s="7">
        <v>4039</v>
      </c>
      <c r="G452" s="11" t="str">
        <f t="shared" si="15"/>
        <v>High</v>
      </c>
    </row>
    <row r="453" spans="1:7" x14ac:dyDescent="0.3">
      <c r="A453">
        <v>8877689391</v>
      </c>
      <c r="B453" s="1">
        <v>42467</v>
      </c>
      <c r="C453" s="1" t="str">
        <f t="shared" si="14"/>
        <v>Thursday</v>
      </c>
      <c r="D453" s="7">
        <v>10910</v>
      </c>
      <c r="E453" s="5">
        <v>8.4200000762939506</v>
      </c>
      <c r="F453" s="7">
        <v>2947</v>
      </c>
      <c r="G453" s="11" t="str">
        <f t="shared" si="15"/>
        <v>High</v>
      </c>
    </row>
    <row r="454" spans="1:7" x14ac:dyDescent="0.3">
      <c r="A454">
        <v>8877689391</v>
      </c>
      <c r="B454" s="1">
        <v>42468</v>
      </c>
      <c r="C454" s="1" t="str">
        <f t="shared" si="14"/>
        <v>Friday</v>
      </c>
      <c r="D454" s="7">
        <v>23014</v>
      </c>
      <c r="E454" s="5">
        <v>20.389999389648398</v>
      </c>
      <c r="F454" s="7">
        <v>4196</v>
      </c>
      <c r="G454" s="11" t="str">
        <f t="shared" si="15"/>
        <v>High</v>
      </c>
    </row>
    <row r="455" spans="1:7" x14ac:dyDescent="0.3">
      <c r="A455">
        <v>8877689391</v>
      </c>
      <c r="B455" s="1">
        <v>42469</v>
      </c>
      <c r="C455" s="1" t="str">
        <f t="shared" si="14"/>
        <v>Saturday</v>
      </c>
      <c r="D455" s="7">
        <v>16470</v>
      </c>
      <c r="E455" s="5">
        <v>8.0699996948242205</v>
      </c>
      <c r="F455" s="7">
        <v>3841</v>
      </c>
      <c r="G455" s="11" t="str">
        <f t="shared" si="15"/>
        <v>High</v>
      </c>
    </row>
    <row r="456" spans="1:7" x14ac:dyDescent="0.3">
      <c r="A456">
        <v>8877689391</v>
      </c>
      <c r="B456" s="1">
        <v>42470</v>
      </c>
      <c r="C456" s="1" t="str">
        <f t="shared" si="14"/>
        <v>Sunday</v>
      </c>
      <c r="D456" s="7">
        <v>28497</v>
      </c>
      <c r="E456" s="5">
        <v>27.530000686645501</v>
      </c>
      <c r="F456" s="7">
        <v>4526</v>
      </c>
      <c r="G456" s="11" t="str">
        <f t="shared" si="15"/>
        <v>High</v>
      </c>
    </row>
    <row r="457" spans="1:7" x14ac:dyDescent="0.3">
      <c r="A457">
        <v>8877689391</v>
      </c>
      <c r="B457" s="1">
        <v>42471</v>
      </c>
      <c r="C457" s="1" t="str">
        <f t="shared" si="14"/>
        <v>Monday</v>
      </c>
      <c r="D457" s="7">
        <v>10622</v>
      </c>
      <c r="E457" s="5">
        <v>8.0600004196166992</v>
      </c>
      <c r="F457" s="7">
        <v>2820</v>
      </c>
      <c r="G457" s="11" t="str">
        <f t="shared" si="15"/>
        <v>High</v>
      </c>
    </row>
    <row r="458" spans="1:7" x14ac:dyDescent="0.3">
      <c r="A458">
        <v>8877689391</v>
      </c>
      <c r="B458" s="1">
        <v>42472</v>
      </c>
      <c r="C458" s="1" t="str">
        <f t="shared" si="14"/>
        <v>Tuesday</v>
      </c>
      <c r="D458" s="7">
        <v>2350</v>
      </c>
      <c r="E458" s="5">
        <v>1.7799999713897701</v>
      </c>
      <c r="F458" s="7">
        <v>938</v>
      </c>
      <c r="G458" s="11" t="str">
        <f t="shared" si="15"/>
        <v>Low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Case_Study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 City</dc:creator>
  <cp:lastModifiedBy>ALMAHI MS</cp:lastModifiedBy>
  <dcterms:created xsi:type="dcterms:W3CDTF">2026-01-04T01:28:14Z</dcterms:created>
  <dcterms:modified xsi:type="dcterms:W3CDTF">2026-01-04T15:15:09Z</dcterms:modified>
</cp:coreProperties>
</file>